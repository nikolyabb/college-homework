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sid/Library/Mobile Documents/com~apple~CloudDocs/Projects/github.com/nikolyabb/college-homework/math-probability/"/>
    </mc:Choice>
  </mc:AlternateContent>
  <xr:revisionPtr revIDLastSave="0" documentId="13_ncr:1_{5435E2F5-E6E7-694A-A621-3068C9A07F6E}" xr6:coauthVersionLast="47" xr6:coauthVersionMax="47" xr10:uidLastSave="{00000000-0000-0000-0000-000000000000}"/>
  <bookViews>
    <workbookView xWindow="0" yWindow="660" windowWidth="30240" windowHeight="18980" activeTab="2" xr2:uid="{00000000-000D-0000-FFFF-FFFF00000000}"/>
  </bookViews>
  <sheets>
    <sheet name="1. Обобщение данных" sheetId="1" r:id="rId1"/>
    <sheet name="2. Точечное и доверительное" sheetId="2" r:id="rId2"/>
    <sheet name="3. Проверка гипотез" sheetId="3" r:id="rId3"/>
    <sheet name="Данные графиков" sheetId="4" r:id="rId4"/>
  </sheets>
  <definedNames>
    <definedName name="data">'1. Обобщение данных'!$D$17:$D$76</definedName>
    <definedName name="n_val">'1. Обобщение данных'!$D$119</definedName>
    <definedName name="s_std">'1. Обобщение данных'!$D$114</definedName>
    <definedName name="wknd_flag">'1. Обобщение данных'!$F$17:$F$76</definedName>
    <definedName name="xbar">'1. Обобщение данных'!$D$113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3" i="2" l="1"/>
  <c r="B7" i="2"/>
  <c r="B88" i="1"/>
  <c r="B89" i="1"/>
  <c r="C89" i="1" s="1"/>
  <c r="B87" i="1"/>
  <c r="C87" i="1" s="1"/>
  <c r="B86" i="1"/>
  <c r="B85" i="1"/>
  <c r="C85" i="1" s="1"/>
  <c r="B84" i="1"/>
  <c r="C84" i="1" s="1"/>
  <c r="B83" i="1"/>
  <c r="C83" i="1" s="1"/>
  <c r="B82" i="1"/>
  <c r="N63" i="4"/>
  <c r="O63" i="4" s="1"/>
  <c r="J63" i="4"/>
  <c r="K63" i="4" s="1"/>
  <c r="F63" i="4"/>
  <c r="N62" i="4"/>
  <c r="O62" i="4" s="1"/>
  <c r="J62" i="4"/>
  <c r="K62" i="4" s="1"/>
  <c r="F62" i="4"/>
  <c r="N61" i="4"/>
  <c r="O61" i="4" s="1"/>
  <c r="J61" i="4"/>
  <c r="K61" i="4" s="1"/>
  <c r="F61" i="4"/>
  <c r="N60" i="4"/>
  <c r="O60" i="4" s="1"/>
  <c r="J60" i="4"/>
  <c r="K60" i="4" s="1"/>
  <c r="F60" i="4"/>
  <c r="N59" i="4"/>
  <c r="O59" i="4" s="1"/>
  <c r="J59" i="4"/>
  <c r="K59" i="4" s="1"/>
  <c r="F59" i="4"/>
  <c r="N58" i="4"/>
  <c r="O58" i="4" s="1"/>
  <c r="J58" i="4"/>
  <c r="K58" i="4" s="1"/>
  <c r="F58" i="4"/>
  <c r="N57" i="4"/>
  <c r="O57" i="4" s="1"/>
  <c r="J57" i="4"/>
  <c r="K57" i="4" s="1"/>
  <c r="F57" i="4"/>
  <c r="N56" i="4"/>
  <c r="O56" i="4" s="1"/>
  <c r="K56" i="4"/>
  <c r="J56" i="4"/>
  <c r="F56" i="4"/>
  <c r="N55" i="4"/>
  <c r="O55" i="4" s="1"/>
  <c r="J55" i="4"/>
  <c r="K55" i="4" s="1"/>
  <c r="F55" i="4"/>
  <c r="N54" i="4"/>
  <c r="O54" i="4" s="1"/>
  <c r="J54" i="4"/>
  <c r="K54" i="4" s="1"/>
  <c r="F54" i="4"/>
  <c r="N53" i="4"/>
  <c r="O53" i="4" s="1"/>
  <c r="J53" i="4"/>
  <c r="K53" i="4" s="1"/>
  <c r="F53" i="4"/>
  <c r="N52" i="4"/>
  <c r="O52" i="4" s="1"/>
  <c r="J52" i="4"/>
  <c r="K52" i="4" s="1"/>
  <c r="F52" i="4"/>
  <c r="N51" i="4"/>
  <c r="O51" i="4" s="1"/>
  <c r="J51" i="4"/>
  <c r="K51" i="4" s="1"/>
  <c r="F51" i="4"/>
  <c r="N50" i="4"/>
  <c r="O50" i="4" s="1"/>
  <c r="J50" i="4"/>
  <c r="K50" i="4" s="1"/>
  <c r="F50" i="4"/>
  <c r="N49" i="4"/>
  <c r="O49" i="4" s="1"/>
  <c r="J49" i="4"/>
  <c r="K49" i="4" s="1"/>
  <c r="F49" i="4"/>
  <c r="N48" i="4"/>
  <c r="O48" i="4" s="1"/>
  <c r="J48" i="4"/>
  <c r="K48" i="4" s="1"/>
  <c r="F48" i="4"/>
  <c r="N47" i="4"/>
  <c r="O47" i="4" s="1"/>
  <c r="J47" i="4"/>
  <c r="K47" i="4" s="1"/>
  <c r="F47" i="4"/>
  <c r="N46" i="4"/>
  <c r="O46" i="4" s="1"/>
  <c r="J46" i="4"/>
  <c r="K46" i="4" s="1"/>
  <c r="F46" i="4"/>
  <c r="N45" i="4"/>
  <c r="O45" i="4" s="1"/>
  <c r="J45" i="4"/>
  <c r="K45" i="4" s="1"/>
  <c r="F45" i="4"/>
  <c r="N44" i="4"/>
  <c r="O44" i="4" s="1"/>
  <c r="J44" i="4"/>
  <c r="K44" i="4" s="1"/>
  <c r="F44" i="4"/>
  <c r="N43" i="4"/>
  <c r="O43" i="4" s="1"/>
  <c r="J43" i="4"/>
  <c r="K43" i="4" s="1"/>
  <c r="F43" i="4"/>
  <c r="N42" i="4"/>
  <c r="O42" i="4" s="1"/>
  <c r="J42" i="4"/>
  <c r="K42" i="4" s="1"/>
  <c r="F42" i="4"/>
  <c r="N41" i="4"/>
  <c r="O41" i="4" s="1"/>
  <c r="K41" i="4"/>
  <c r="J41" i="4"/>
  <c r="F41" i="4"/>
  <c r="N40" i="4"/>
  <c r="O40" i="4" s="1"/>
  <c r="J40" i="4"/>
  <c r="K40" i="4" s="1"/>
  <c r="F40" i="4"/>
  <c r="N39" i="4"/>
  <c r="O39" i="4" s="1"/>
  <c r="J39" i="4"/>
  <c r="K39" i="4" s="1"/>
  <c r="F39" i="4"/>
  <c r="N38" i="4"/>
  <c r="O38" i="4" s="1"/>
  <c r="J38" i="4"/>
  <c r="K38" i="4" s="1"/>
  <c r="F38" i="4"/>
  <c r="N37" i="4"/>
  <c r="O37" i="4" s="1"/>
  <c r="J37" i="4"/>
  <c r="K37" i="4" s="1"/>
  <c r="F37" i="4"/>
  <c r="N36" i="4"/>
  <c r="O36" i="4" s="1"/>
  <c r="J36" i="4"/>
  <c r="K36" i="4" s="1"/>
  <c r="F36" i="4"/>
  <c r="N35" i="4"/>
  <c r="O35" i="4" s="1"/>
  <c r="J35" i="4"/>
  <c r="K35" i="4" s="1"/>
  <c r="F35" i="4"/>
  <c r="N34" i="4"/>
  <c r="O34" i="4" s="1"/>
  <c r="J34" i="4"/>
  <c r="K34" i="4" s="1"/>
  <c r="F34" i="4"/>
  <c r="N33" i="4"/>
  <c r="O33" i="4" s="1"/>
  <c r="J33" i="4"/>
  <c r="K33" i="4" s="1"/>
  <c r="F33" i="4"/>
  <c r="N32" i="4"/>
  <c r="O32" i="4" s="1"/>
  <c r="J32" i="4"/>
  <c r="K32" i="4" s="1"/>
  <c r="F32" i="4"/>
  <c r="N31" i="4"/>
  <c r="O31" i="4" s="1"/>
  <c r="J31" i="4"/>
  <c r="K31" i="4" s="1"/>
  <c r="F31" i="4"/>
  <c r="N30" i="4"/>
  <c r="O30" i="4" s="1"/>
  <c r="J30" i="4"/>
  <c r="K30" i="4" s="1"/>
  <c r="F30" i="4"/>
  <c r="N29" i="4"/>
  <c r="O29" i="4" s="1"/>
  <c r="J29" i="4"/>
  <c r="K29" i="4" s="1"/>
  <c r="F29" i="4"/>
  <c r="N28" i="4"/>
  <c r="O28" i="4" s="1"/>
  <c r="J28" i="4"/>
  <c r="K28" i="4" s="1"/>
  <c r="F28" i="4"/>
  <c r="N27" i="4"/>
  <c r="O27" i="4" s="1"/>
  <c r="J27" i="4"/>
  <c r="K27" i="4" s="1"/>
  <c r="F27" i="4"/>
  <c r="N26" i="4"/>
  <c r="O26" i="4" s="1"/>
  <c r="K26" i="4"/>
  <c r="J26" i="4"/>
  <c r="F26" i="4"/>
  <c r="N25" i="4"/>
  <c r="O25" i="4" s="1"/>
  <c r="J25" i="4"/>
  <c r="K25" i="4" s="1"/>
  <c r="F25" i="4"/>
  <c r="N24" i="4"/>
  <c r="O24" i="4" s="1"/>
  <c r="J24" i="4"/>
  <c r="K24" i="4" s="1"/>
  <c r="F24" i="4"/>
  <c r="N23" i="4"/>
  <c r="O23" i="4" s="1"/>
  <c r="J23" i="4"/>
  <c r="K23" i="4" s="1"/>
  <c r="F23" i="4"/>
  <c r="N22" i="4"/>
  <c r="O22" i="4" s="1"/>
  <c r="J22" i="4"/>
  <c r="K22" i="4" s="1"/>
  <c r="F22" i="4"/>
  <c r="N21" i="4"/>
  <c r="O21" i="4" s="1"/>
  <c r="J21" i="4"/>
  <c r="K21" i="4" s="1"/>
  <c r="F21" i="4"/>
  <c r="N20" i="4"/>
  <c r="O20" i="4" s="1"/>
  <c r="J20" i="4"/>
  <c r="K20" i="4" s="1"/>
  <c r="F20" i="4"/>
  <c r="N19" i="4"/>
  <c r="O19" i="4" s="1"/>
  <c r="J19" i="4"/>
  <c r="K19" i="4" s="1"/>
  <c r="F19" i="4"/>
  <c r="N18" i="4"/>
  <c r="O18" i="4" s="1"/>
  <c r="J18" i="4"/>
  <c r="K18" i="4" s="1"/>
  <c r="F18" i="4"/>
  <c r="N17" i="4"/>
  <c r="O17" i="4" s="1"/>
  <c r="J17" i="4"/>
  <c r="K17" i="4" s="1"/>
  <c r="F17" i="4"/>
  <c r="N16" i="4"/>
  <c r="O16" i="4" s="1"/>
  <c r="J16" i="4"/>
  <c r="K16" i="4" s="1"/>
  <c r="F16" i="4"/>
  <c r="N15" i="4"/>
  <c r="O15" i="4" s="1"/>
  <c r="J15" i="4"/>
  <c r="K15" i="4" s="1"/>
  <c r="F15" i="4"/>
  <c r="N14" i="4"/>
  <c r="O14" i="4" s="1"/>
  <c r="J14" i="4"/>
  <c r="K14" i="4" s="1"/>
  <c r="F14" i="4"/>
  <c r="N13" i="4"/>
  <c r="O13" i="4" s="1"/>
  <c r="J13" i="4"/>
  <c r="K13" i="4" s="1"/>
  <c r="F13" i="4"/>
  <c r="N12" i="4"/>
  <c r="O12" i="4" s="1"/>
  <c r="J12" i="4"/>
  <c r="K12" i="4" s="1"/>
  <c r="F12" i="4"/>
  <c r="N11" i="4"/>
  <c r="O11" i="4" s="1"/>
  <c r="J11" i="4"/>
  <c r="K11" i="4" s="1"/>
  <c r="F11" i="4"/>
  <c r="N10" i="4"/>
  <c r="O10" i="4" s="1"/>
  <c r="J10" i="4"/>
  <c r="K10" i="4" s="1"/>
  <c r="F10" i="4"/>
  <c r="N9" i="4"/>
  <c r="O9" i="4" s="1"/>
  <c r="J9" i="4"/>
  <c r="K9" i="4" s="1"/>
  <c r="F9" i="4"/>
  <c r="N8" i="4"/>
  <c r="O8" i="4" s="1"/>
  <c r="J8" i="4"/>
  <c r="K8" i="4" s="1"/>
  <c r="F8" i="4"/>
  <c r="N7" i="4"/>
  <c r="O7" i="4" s="1"/>
  <c r="J7" i="4"/>
  <c r="K7" i="4" s="1"/>
  <c r="F7" i="4"/>
  <c r="N6" i="4"/>
  <c r="O6" i="4" s="1"/>
  <c r="J6" i="4"/>
  <c r="K6" i="4" s="1"/>
  <c r="F6" i="4"/>
  <c r="N5" i="4"/>
  <c r="O5" i="4" s="1"/>
  <c r="J5" i="4"/>
  <c r="K5" i="4" s="1"/>
  <c r="F5" i="4"/>
  <c r="N4" i="4"/>
  <c r="O4" i="4" s="1"/>
  <c r="J4" i="4"/>
  <c r="K4" i="4" s="1"/>
  <c r="F4" i="4"/>
  <c r="C73" i="3"/>
  <c r="B68" i="3"/>
  <c r="B61" i="3"/>
  <c r="B60" i="3"/>
  <c r="B59" i="3"/>
  <c r="B58" i="3"/>
  <c r="B57" i="3"/>
  <c r="C50" i="3"/>
  <c r="B44" i="3"/>
  <c r="B43" i="3"/>
  <c r="D119" i="1"/>
  <c r="D117" i="1"/>
  <c r="D116" i="1"/>
  <c r="D114" i="1"/>
  <c r="D113" i="1"/>
  <c r="D112" i="1"/>
  <c r="D108" i="1"/>
  <c r="D110" i="1"/>
  <c r="D107" i="1"/>
  <c r="D109" i="1"/>
  <c r="D106" i="1"/>
  <c r="C88" i="1"/>
  <c r="C86" i="1"/>
  <c r="C40" i="2" l="1"/>
  <c r="C41" i="2"/>
  <c r="C39" i="2"/>
  <c r="D13" i="2"/>
  <c r="D111" i="1"/>
  <c r="G55" i="4"/>
  <c r="G54" i="4"/>
  <c r="G53" i="4"/>
  <c r="G52" i="4"/>
  <c r="G51" i="4"/>
  <c r="G50" i="4"/>
  <c r="G49" i="4"/>
  <c r="G48" i="4"/>
  <c r="G47" i="4"/>
  <c r="G46" i="4"/>
  <c r="G45" i="4"/>
  <c r="G44" i="4"/>
  <c r="G43" i="4"/>
  <c r="G42" i="4"/>
  <c r="G22" i="4"/>
  <c r="G21" i="4"/>
  <c r="G20" i="4"/>
  <c r="G5" i="4"/>
  <c r="G4" i="4"/>
  <c r="B45" i="3"/>
  <c r="B46" i="3" s="1"/>
  <c r="G19" i="4"/>
  <c r="C15" i="3"/>
  <c r="B10" i="3"/>
  <c r="B62" i="3"/>
  <c r="B47" i="3"/>
  <c r="B48" i="3" s="1"/>
  <c r="A51" i="3"/>
  <c r="G63" i="4"/>
  <c r="G13" i="4"/>
  <c r="G15" i="4"/>
  <c r="G17" i="4"/>
  <c r="G31" i="4"/>
  <c r="G29" i="4"/>
  <c r="G16" i="4"/>
  <c r="G41" i="4"/>
  <c r="G32" i="4"/>
  <c r="G28" i="4"/>
  <c r="G62" i="4"/>
  <c r="G30" i="4"/>
  <c r="G33" i="4"/>
  <c r="G27" i="4"/>
  <c r="G14" i="4"/>
  <c r="G61" i="4"/>
  <c r="G26" i="4"/>
  <c r="G60" i="4"/>
  <c r="G34" i="4"/>
  <c r="G59" i="4"/>
  <c r="G25" i="4"/>
  <c r="G6" i="4"/>
  <c r="G35" i="4"/>
  <c r="G58" i="4"/>
  <c r="G24" i="4"/>
  <c r="G7" i="4"/>
  <c r="G36" i="4"/>
  <c r="G57" i="4"/>
  <c r="G23" i="4"/>
  <c r="G8" i="4"/>
  <c r="G37" i="4"/>
  <c r="G9" i="4"/>
  <c r="G38" i="4"/>
  <c r="G10" i="4"/>
  <c r="G11" i="4"/>
  <c r="G39" i="4"/>
  <c r="G56" i="4"/>
  <c r="G40" i="4"/>
  <c r="G12" i="4"/>
  <c r="G18" i="4"/>
  <c r="B6" i="2"/>
  <c r="C42" i="2" s="1"/>
  <c r="B15" i="4"/>
  <c r="C15" i="4" s="1"/>
  <c r="B29" i="4"/>
  <c r="C29" i="4" s="1"/>
  <c r="B32" i="4"/>
  <c r="C32" i="4" s="1"/>
  <c r="C59" i="3"/>
  <c r="D59" i="3" s="1"/>
  <c r="B63" i="4"/>
  <c r="C63" i="4" s="1"/>
  <c r="B19" i="4"/>
  <c r="C19" i="4" s="1"/>
  <c r="B44" i="4"/>
  <c r="C44" i="4" s="1"/>
  <c r="B45" i="4"/>
  <c r="C45" i="4" s="1"/>
  <c r="B43" i="4"/>
  <c r="C43" i="4" s="1"/>
  <c r="B18" i="4"/>
  <c r="C18" i="4" s="1"/>
  <c r="B46" i="4"/>
  <c r="C46" i="4" s="1"/>
  <c r="B47" i="4"/>
  <c r="C47" i="4" s="1"/>
  <c r="B42" i="4"/>
  <c r="C42" i="4" s="1"/>
  <c r="B17" i="4"/>
  <c r="C17" i="4" s="1"/>
  <c r="B48" i="4"/>
  <c r="C48" i="4" s="1"/>
  <c r="B49" i="4"/>
  <c r="C49" i="4" s="1"/>
  <c r="C61" i="3"/>
  <c r="D61" i="3" s="1"/>
  <c r="B16" i="4"/>
  <c r="C16" i="4" s="1"/>
  <c r="C60" i="3"/>
  <c r="D60" i="3" s="1"/>
  <c r="B50" i="4"/>
  <c r="C50" i="4" s="1"/>
  <c r="B30" i="4"/>
  <c r="C30" i="4" s="1"/>
  <c r="B21" i="4"/>
  <c r="C21" i="4" s="1"/>
  <c r="B51" i="4"/>
  <c r="C51" i="4" s="1"/>
  <c r="B52" i="4"/>
  <c r="C52" i="4" s="1"/>
  <c r="C58" i="3"/>
  <c r="D58" i="3" s="1"/>
  <c r="B14" i="4"/>
  <c r="C14" i="4" s="1"/>
  <c r="B53" i="4"/>
  <c r="C53" i="4" s="1"/>
  <c r="B54" i="4"/>
  <c r="C54" i="4" s="1"/>
  <c r="B41" i="4"/>
  <c r="C41" i="4" s="1"/>
  <c r="B13" i="4"/>
  <c r="C13" i="4" s="1"/>
  <c r="B55" i="4"/>
  <c r="C55" i="4" s="1"/>
  <c r="B56" i="4"/>
  <c r="C56" i="4" s="1"/>
  <c r="B20" i="4"/>
  <c r="C20" i="4" s="1"/>
  <c r="B12" i="4"/>
  <c r="C12" i="4" s="1"/>
  <c r="B40" i="4"/>
  <c r="C40" i="4" s="1"/>
  <c r="B31" i="4"/>
  <c r="C31" i="4" s="1"/>
  <c r="B39" i="4"/>
  <c r="C39" i="4" s="1"/>
  <c r="B11" i="4"/>
  <c r="C11" i="4" s="1"/>
  <c r="B22" i="4"/>
  <c r="C22" i="4" s="1"/>
  <c r="B10" i="4"/>
  <c r="C10" i="4" s="1"/>
  <c r="B38" i="4"/>
  <c r="C38" i="4" s="1"/>
  <c r="B9" i="4"/>
  <c r="C9" i="4" s="1"/>
  <c r="B12" i="3"/>
  <c r="B13" i="3" s="1"/>
  <c r="C57" i="3"/>
  <c r="B23" i="4"/>
  <c r="C23" i="4" s="1"/>
  <c r="B8" i="4"/>
  <c r="C8" i="4" s="1"/>
  <c r="B57" i="4"/>
  <c r="C57" i="4" s="1"/>
  <c r="B37" i="4"/>
  <c r="C37" i="4" s="1"/>
  <c r="B24" i="4"/>
  <c r="C24" i="4" s="1"/>
  <c r="B7" i="4"/>
  <c r="C7" i="4" s="1"/>
  <c r="B58" i="4"/>
  <c r="C58" i="4" s="1"/>
  <c r="B36" i="4"/>
  <c r="C36" i="4" s="1"/>
  <c r="B25" i="4"/>
  <c r="C25" i="4" s="1"/>
  <c r="B6" i="4"/>
  <c r="C6" i="4" s="1"/>
  <c r="B59" i="4"/>
  <c r="C59" i="4" s="1"/>
  <c r="B35" i="4"/>
  <c r="C35" i="4" s="1"/>
  <c r="B60" i="4"/>
  <c r="C60" i="4" s="1"/>
  <c r="B5" i="4"/>
  <c r="C5" i="4" s="1"/>
  <c r="B26" i="4"/>
  <c r="C26" i="4" s="1"/>
  <c r="B61" i="4"/>
  <c r="C61" i="4" s="1"/>
  <c r="B34" i="4"/>
  <c r="C34" i="4" s="1"/>
  <c r="B4" i="4"/>
  <c r="C4" i="4" s="1"/>
  <c r="B62" i="4"/>
  <c r="C62" i="4" s="1"/>
  <c r="B11" i="3"/>
  <c r="B27" i="4"/>
  <c r="C27" i="4" s="1"/>
  <c r="B33" i="4"/>
  <c r="C33" i="4" s="1"/>
  <c r="B5" i="2"/>
  <c r="B28" i="4"/>
  <c r="C28" i="4" s="1"/>
  <c r="C82" i="1"/>
  <c r="D82" i="1"/>
  <c r="B39" i="2" l="1"/>
  <c r="B41" i="2"/>
  <c r="B42" i="2"/>
  <c r="B40" i="2"/>
  <c r="B13" i="2"/>
  <c r="C13" i="2"/>
  <c r="D57" i="3"/>
  <c r="D62" i="3" s="1"/>
  <c r="C62" i="3"/>
  <c r="E82" i="1"/>
  <c r="D83" i="1"/>
  <c r="B94" i="1"/>
  <c r="C94" i="1"/>
  <c r="A16" i="3"/>
  <c r="B70" i="3" l="1"/>
  <c r="B69" i="3"/>
  <c r="E83" i="1"/>
  <c r="B95" i="1"/>
  <c r="C95" i="1"/>
  <c r="D84" i="1"/>
  <c r="B71" i="3" l="1"/>
  <c r="A74" i="3"/>
  <c r="E84" i="1"/>
  <c r="D85" i="1"/>
  <c r="B96" i="1"/>
  <c r="C96" i="1"/>
  <c r="E85" i="1" l="1"/>
  <c r="B97" i="1"/>
  <c r="C97" i="1"/>
  <c r="D86" i="1"/>
  <c r="E86" i="1" l="1"/>
  <c r="D87" i="1"/>
  <c r="B98" i="1"/>
  <c r="C98" i="1"/>
  <c r="E87" i="1" l="1"/>
  <c r="B99" i="1"/>
  <c r="C99" i="1"/>
  <c r="D88" i="1"/>
  <c r="E88" i="1" l="1"/>
  <c r="D89" i="1"/>
  <c r="B100" i="1"/>
  <c r="C100" i="1"/>
  <c r="E89" i="1" l="1"/>
  <c r="B101" i="1"/>
  <c r="C101" i="1"/>
</calcChain>
</file>

<file path=xl/sharedStrings.xml><?xml version="1.0" encoding="utf-8"?>
<sst xmlns="http://schemas.openxmlformats.org/spreadsheetml/2006/main" count="350" uniqueCount="209">
  <si>
    <t>Задание 1. Первичная обработка данных</t>
  </si>
  <si>
    <t>Задача исследования: оценить ежедневное время на выполнение домашних заданий. Генеральная совокупность — все дни периода обучения. Выборка: n = 60 наблюдений.</t>
  </si>
  <si>
    <t>1.1) Таблица данных (календарная сетка, часы)</t>
  </si>
  <si>
    <t>Месяц</t>
  </si>
  <si>
    <t>Январь</t>
  </si>
  <si>
    <t>Февраль</t>
  </si>
  <si>
    <t>Март</t>
  </si>
  <si>
    <t>Апрель</t>
  </si>
  <si>
    <t>Май</t>
  </si>
  <si>
    <t>Июнь</t>
  </si>
  <si>
    <t>№</t>
  </si>
  <si>
    <t>Дата</t>
  </si>
  <si>
    <t>День недели</t>
  </si>
  <si>
    <t>Часы (xᵢ)</t>
  </si>
  <si>
    <t>Источник</t>
  </si>
  <si>
    <t>Выходной (флаг)</t>
  </si>
  <si>
    <t>04.01.2026</t>
  </si>
  <si>
    <t>Вс</t>
  </si>
  <si>
    <t>нет визита</t>
  </si>
  <si>
    <t>05.01.2026</t>
  </si>
  <si>
    <t>Пн</t>
  </si>
  <si>
    <t>06.01.2026</t>
  </si>
  <si>
    <t>Вт</t>
  </si>
  <si>
    <t>07.01.2026</t>
  </si>
  <si>
    <t>Ср</t>
  </si>
  <si>
    <t>08.01.2026</t>
  </si>
  <si>
    <t>Чт</t>
  </si>
  <si>
    <t>09.01.2026</t>
  </si>
  <si>
    <t>Пт</t>
  </si>
  <si>
    <t>10.01.2026</t>
  </si>
  <si>
    <t>Сб</t>
  </si>
  <si>
    <t>11.01.2026</t>
  </si>
  <si>
    <t>02.02.2026</t>
  </si>
  <si>
    <t>newlxp.ru</t>
  </si>
  <si>
    <t>22.04.2026</t>
  </si>
  <si>
    <t>18.05.2026</t>
  </si>
  <si>
    <t>07.06.2026</t>
  </si>
  <si>
    <t>08.06.2026</t>
  </si>
  <si>
    <t>15.05.2026</t>
  </si>
  <si>
    <t>17.05.2026</t>
  </si>
  <si>
    <t>15.06.2026</t>
  </si>
  <si>
    <t>16.06.2026</t>
  </si>
  <si>
    <t>21.01.2026</t>
  </si>
  <si>
    <t>20.01.2026</t>
  </si>
  <si>
    <t>31.03.2026</t>
  </si>
  <si>
    <t>27.04.2026</t>
  </si>
  <si>
    <t>08.05.2026</t>
  </si>
  <si>
    <t>26.01.2026</t>
  </si>
  <si>
    <t>20.04.2026</t>
  </si>
  <si>
    <t>02.05.2026</t>
  </si>
  <si>
    <t>16.02.2026</t>
  </si>
  <si>
    <t>17.02.2026</t>
  </si>
  <si>
    <t>04.06.2026</t>
  </si>
  <si>
    <t>01.02.2026</t>
  </si>
  <si>
    <t>14.05.2026</t>
  </si>
  <si>
    <t>21.05.2026</t>
  </si>
  <si>
    <t>02.06.2026</t>
  </si>
  <si>
    <t>07.05.2026</t>
  </si>
  <si>
    <t>26.05.2026</t>
  </si>
  <si>
    <t>01.06.2026</t>
  </si>
  <si>
    <t>03.02.2026</t>
  </si>
  <si>
    <t>17.01.2026</t>
  </si>
  <si>
    <t>25.05.2026</t>
  </si>
  <si>
    <t>26.02.2026</t>
  </si>
  <si>
    <t>27.02.2026</t>
  </si>
  <si>
    <t>09.06.2026</t>
  </si>
  <si>
    <t>19.04.2026</t>
  </si>
  <si>
    <t>10.06.2026</t>
  </si>
  <si>
    <t>08.02.2026</t>
  </si>
  <si>
    <t>13.06.2026</t>
  </si>
  <si>
    <t>23.01.2026</t>
  </si>
  <si>
    <t>15.02.2026</t>
  </si>
  <si>
    <t>25.04.2026</t>
  </si>
  <si>
    <t>25.02.2026</t>
  </si>
  <si>
    <t>03.05.2026</t>
  </si>
  <si>
    <t>20.06.2026</t>
  </si>
  <si>
    <t>16.05.2026</t>
  </si>
  <si>
    <t>19.06.2026</t>
  </si>
  <si>
    <t>03.06.2026</t>
  </si>
  <si>
    <t>27.01.2026</t>
  </si>
  <si>
    <t>09.05.2026</t>
  </si>
  <si>
    <t>29.01.2026</t>
  </si>
  <si>
    <t>21.06.2026</t>
  </si>
  <si>
    <t>11.03.2026</t>
  </si>
  <si>
    <t>17.06.2026</t>
  </si>
  <si>
    <t>1.3) Частотный (интервальный) ряд</t>
  </si>
  <si>
    <t>Интервал (ч)</t>
  </si>
  <si>
    <t>Накопл. частота F_n</t>
  </si>
  <si>
    <t>Отн. накопл. частота F_n/n</t>
  </si>
  <si>
    <t>[0,1)</t>
  </si>
  <si>
    <t>[1,2)</t>
  </si>
  <si>
    <t>[2,3)</t>
  </si>
  <si>
    <t>[3,4)</t>
  </si>
  <si>
    <t>[4,5)</t>
  </si>
  <si>
    <t>[5,6)</t>
  </si>
  <si>
    <t>[6,7)</t>
  </si>
  <si>
    <t>[7,+∞)</t>
  </si>
  <si>
    <t>1.4) Кумулятивные частоты и кумулата</t>
  </si>
  <si>
    <t>Верхняя граница (ч)</t>
  </si>
  <si>
    <t>Задание 2. Исследовательский анализ данных</t>
  </si>
  <si>
    <t>Показатель</t>
  </si>
  <si>
    <t>Значение</t>
  </si>
  <si>
    <t>IQR = Q₃ − Q₁</t>
  </si>
  <si>
    <t>As (коэффициент асимметрии)</t>
  </si>
  <si>
    <t>Ex (эксцесс)</t>
  </si>
  <si>
    <t>n (объём выборки)</t>
  </si>
  <si>
    <t>Задание 3. Описание данных</t>
  </si>
  <si>
    <t>Оценка</t>
  </si>
  <si>
    <t>Что оценивает</t>
  </si>
  <si>
    <t>Обоснование</t>
  </si>
  <si>
    <t>x̄</t>
  </si>
  <si>
    <t>M(X) — математическое ожидание</t>
  </si>
  <si>
    <t>Несмещённая, состоятельная, эффективная</t>
  </si>
  <si>
    <t>s</t>
  </si>
  <si>
    <t>σ — с.к.о. генеральной совокупности</t>
  </si>
  <si>
    <t>Исправленное с.к.о., несмещённая оценка σ</t>
  </si>
  <si>
    <t>Задание 4. Построение доверительного интервала для M(X)</t>
  </si>
  <si>
    <t>Доверительная вероятность γ</t>
  </si>
  <si>
    <t>Нижняя граница</t>
  </si>
  <si>
    <t>Верхняя граница</t>
  </si>
  <si>
    <t>Граница ошибки ε</t>
  </si>
  <si>
    <t>t_{γ,k}</t>
  </si>
  <si>
    <t>Задание 5. Анализ доверительного оценивания</t>
  </si>
  <si>
    <t>Длина интервала</t>
  </si>
  <si>
    <t>Задание 6. Проверка гипотезы о среднем M(X)</t>
  </si>
  <si>
    <t>Теоретическое значение: M₀(X) = 2 ч/день — нормативное среднее время самостоятельной работы при совмещённой форме обучения. Проверяется, ниже ли выборочное среднее этого норматива.</t>
  </si>
  <si>
    <t>Элемент</t>
  </si>
  <si>
    <t>Значение / формулировка</t>
  </si>
  <si>
    <t>H₀</t>
  </si>
  <si>
    <t>M(X) = 2</t>
  </si>
  <si>
    <t>H₁</t>
  </si>
  <si>
    <t>M(X) &lt; 2 (левосторонняя альтернатива)</t>
  </si>
  <si>
    <t>Случайная величина</t>
  </si>
  <si>
    <t>X — ежедневное время на выполнение домашних заданий, ч</t>
  </si>
  <si>
    <t>Распределение</t>
  </si>
  <si>
    <t>t(k), k = n − 1. k вычисляется в ячейке ниже.</t>
  </si>
  <si>
    <t>k (число степеней свободы)</t>
  </si>
  <si>
    <t>Тестовая статистика t_набл</t>
  </si>
  <si>
    <t>p-значение</t>
  </si>
  <si>
    <t>Решение</t>
  </si>
  <si>
    <t>Вывод</t>
  </si>
  <si>
    <t>По выборке не получено статистически значимых свидетельств того, что M(X) ниже норматива 2 ч/день.</t>
  </si>
  <si>
    <t>t_crit (α=0.05)</t>
  </si>
  <si>
    <t>Задание 7. Проверка гипотезы о доле p</t>
  </si>
  <si>
    <t>Теоретическое значение p₀ = 0.5 — вероятность того, что в случайно выбранный выходной день состоится учебная активность, равна вероятности её отсутствия. Проверяется, отличается ли наблюдаемая доля от 0.5.</t>
  </si>
  <si>
    <t>p = 0.5</t>
  </si>
  <si>
    <t>p ≠ 0.5 (двусторонняя альтернатива)</t>
  </si>
  <si>
    <t>I — индикатор учебной активности в случайно выбранный выходной день (1 — была, 0 — нет)</t>
  </si>
  <si>
    <t>Нормальное приближение биномиального</t>
  </si>
  <si>
    <t>n_выходных (число выходных в выборке)</t>
  </si>
  <si>
    <t>x_активных (выходных с учёбой)</t>
  </si>
  <si>
    <t>p̂ (выборочная доля)</t>
  </si>
  <si>
    <t>z_набл</t>
  </si>
  <si>
    <t>Доля выходных дней с учебной активностью статистически значимо отличается от 0.5, что свидетельствует о смещении самостоятельной работы в выходные дни.</t>
  </si>
  <si>
    <t>z_crit (α=0.05)</t>
  </si>
  <si>
    <t>Задание 8. Проверка гипотезы о нормальном распределении</t>
  </si>
  <si>
    <t>Проверяется соответствие распределения ежедневного времени нормальному закону X ~ N(M(X), σ). Используются 5 интервалов с открытыми крайними для корректного учёта хвостов. Число интервалов уменьшено до 5 (вместо 6–10) для выполнения условия ожидаемых частот ≥ 5 при n = 60.</t>
  </si>
  <si>
    <t>Интервал</t>
  </si>
  <si>
    <t>Наблюд. частота n_i</t>
  </si>
  <si>
    <t>Ожид. частота n_i'</t>
  </si>
  <si>
    <t>(n_i − n_i')²/n_i'</t>
  </si>
  <si>
    <t>[4,+∞)</t>
  </si>
  <si>
    <t>Итого</t>
  </si>
  <si>
    <t>X ~ N(M(X), σ)</t>
  </si>
  <si>
    <t>M(X) и σ оцениваются по выборке (см. Задание 2)</t>
  </si>
  <si>
    <t>X ~ N(M(X), σ) — распределение нормально</t>
  </si>
  <si>
    <t>Распределение не является нормальным</t>
  </si>
  <si>
    <t>Распределение критерия</t>
  </si>
  <si>
    <t>χ² с k = m − 1 − 2, где m = 5 (число интервалов)</t>
  </si>
  <si>
    <t>χ²_набл</t>
  </si>
  <si>
    <t>По критерию Пирсона нет оснований отвергнуть гипотезу о нормальности. Однако коэффициент асимметрии и эксцесс (см. Задание 2) указывают на отклонение от нормальности; при мощности теста χ² на выборке n = 60 это отклонение может быть не обнаружено.</t>
  </si>
  <si>
    <t>χ²_crit (α=0.05, k=2)</t>
  </si>
  <si>
    <t>Вспомогательные данные для графиков распределений (плотности вычислены формулами Excel)</t>
  </si>
  <si>
    <t>Задание 4: N(M(X), σ)</t>
  </si>
  <si>
    <t>x</t>
  </si>
  <si>
    <t>f(x)=NORMDIST(x;M(X);σ;FALSE)</t>
  </si>
  <si>
    <t>Задание 6: t(k)</t>
  </si>
  <si>
    <t>t</t>
  </si>
  <si>
    <t>f(t)=GAMMA((k+1)/2)/(√(k·π)·GAMMA(k/2))·(1+t²/k)^(-(k+1)/2)</t>
  </si>
  <si>
    <t>Задание 7: N(0,1)</t>
  </si>
  <si>
    <t>z</t>
  </si>
  <si>
    <t>f(z)=NORMDIST(z;0;1;FALSE)</t>
  </si>
  <si>
    <t>Задание 8: χ²(k)</t>
  </si>
  <si>
    <t>χ²</t>
  </si>
  <si>
    <t>f(χ²)=EXP(-x/2)·x^(k/2-1)/(2^(k/2)·GAMMA(k/2))</t>
  </si>
  <si>
    <t>Примечание: 
0 = нет данных (вне периода или несуществующая дата) либо отсутствие активности. 
Зелёным выделены дни с ненулевым временем, жёлтым — выходные. 
Календарная сетка показывает весь период наблюдения (169 дней) для контекста; 
все статистические расчёты выполнены по выборке n = 60.</t>
  </si>
  <si>
    <r>
      <t xml:space="preserve">Тип переменной: </t>
    </r>
    <r>
      <rPr>
        <b/>
        <i/>
        <sz val="12"/>
        <color rgb="FF555555"/>
        <rFont val="Calibri"/>
        <family val="2"/>
      </rPr>
      <t>непрерывная</t>
    </r>
    <r>
      <rPr>
        <i/>
        <sz val="12"/>
        <color rgb="FF555555"/>
        <rFont val="Calibri"/>
        <family val="2"/>
      </rPr>
      <t>. 
Изучаемая величина — ежедневное время выполнения домашних заданий, которое по своей природе может принимать любое неотрицательное действительное значение. 
В отчёте оно получено по формуле, включающей непрерывный размах между первым и последним визитом (ч), и округлено до 0.1 ч только для наглядности; округление является ограничением точности измерения, а не дискретностью самой переменной.</t>
    </r>
  </si>
  <si>
    <t>Частота 
nᵢ</t>
  </si>
  <si>
    <t>Отн. частота 
wᵢ</t>
  </si>
  <si>
    <t>Накопл. частота 
F_n</t>
  </si>
  <si>
    <t>Отн. накопл. частота 
F_n/n</t>
  </si>
  <si>
    <t>Min</t>
  </si>
  <si>
    <t>Медиана</t>
  </si>
  <si>
    <t>Max</t>
  </si>
  <si>
    <t>Q₁</t>
  </si>
  <si>
    <t>Q₃</t>
  </si>
  <si>
    <t>p₉₀</t>
  </si>
  <si>
    <t>Выборочное среднее (x̄)</t>
  </si>
  <si>
    <t>Выборочное стандартное отклонение (σ)</t>
  </si>
  <si>
    <t xml:space="preserve">Источник данных — история браузера моего компьютера за период 04.01.2026–21.06.2026 (количество посещений образовательной платформы LXP во 2м семестре). 
Часы на активных днях вычислены по формуле: hours = max(0.5, sqrt(visits) x 0.45 + span·0.25), 
где visits — число успешных загрузок страниц, 
span — размах между первым и последним визитом (ч). </t>
  </si>
  <si>
    <t>1.2) Вариационный ранжированный ряд (n = 60) Выборка: 52 активных дня + 8 нулевых дней (04–11.01)</t>
  </si>
  <si>
    <t>3.1) Точечные оценки. 
В качестве точечной оценки математического ожидания M(X) принимаем выборочное среднее x̄ — несмещённую, состоятельную и эффективную оценку. В качестве оценки σ (с.к.о.) принимаем исправленное выборочное стандартное отклонение s (несмещённая оценка).</t>
  </si>
  <si>
    <t>3.2) Распределение для доверительного интервала. 
Так как генеральное σ неизвестно и оценивается по выборке (s), используем распределение Стьюдента t(k), где k = n − 1 = 59 — число степеней свободы. 
При n = 60 распределение t близко к нормальному, но технически корректно использовать t при неизвестном σ.</t>
  </si>
  <si>
    <t>n</t>
  </si>
  <si>
    <t>общее количество значений в выборке</t>
  </si>
  <si>
    <t>Доверительный интервал в нашем случае отсекает крайние значения. Получается что с впроятностью 5% я занимался менее 1.406 часа или более 2.184 часа. Чаще всего я либо "открыл, посмотрел, закрыл", что по ощущениям должно быть менее полутора часов, либо "всерьез позанимался", что всегда более 2 часов. Но этот график показывает усредненные значения, и тогда это имеет смысл.</t>
  </si>
  <si>
    <t>Вывод: По мере увеличения уровня доверия граница ошибки увеличивается, и, как следствие, длина доверительного интервала также увеличивается. Если мы запрашиваем более высокий уровень доверия, то статистическая таблица выдает нам более высокий критический коэффициент и при умножении мы получаем бóльшую границу ошибки, поскольку доверительный интервал строится путем прибавления и вычитания этой ошибки из выборочного среднего, общая длина интервала растягивается.</t>
  </si>
  <si>
    <r>
      <t>Гипотеза</t>
    </r>
    <r>
      <rPr>
        <sz val="12"/>
        <rFont val="Calibri"/>
        <family val="2"/>
      </rPr>
      <t>: В выходные дни я занимаюсь больше, чем в будни</t>
    </r>
  </si>
  <si>
    <r>
      <t>Гипотеза</t>
    </r>
    <r>
      <rPr>
        <sz val="12"/>
        <rFont val="Calibri"/>
        <family val="2"/>
      </rPr>
      <t>: в те дни, что я занимаюсь учебой, я уделяю этому не менее двух часов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</si>
</sst>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20">
    <font>
      <sz val="11"/>
      <color theme="1"/>
      <name val="Calibri"/>
      <family val="2"/>
      <scheme val="minor"/>
    </font>
    <font>
      <b/>
      <sz val="14"/>
      <name val="Calibri"/>
    </font>
    <font>
      <i/>
      <sz val="10"/>
      <color rgb="FF555555"/>
      <name val="Calibri"/>
    </font>
    <font>
      <b/>
      <sz val="11"/>
      <name val="Calibri"/>
    </font>
    <font>
      <b/>
      <sz val="11"/>
      <name val="Calibri"/>
    </font>
    <font>
      <b/>
      <sz val="11"/>
      <color rgb="FFFFFFFF"/>
      <name val="Calibri"/>
    </font>
    <font>
      <b/>
      <sz val="12"/>
      <name val="Calibri"/>
    </font>
    <font>
      <i/>
      <sz val="12"/>
      <color rgb="FF555555"/>
      <name val="Calibri"/>
      <family val="2"/>
      <scheme val="minor"/>
    </font>
    <font>
      <i/>
      <sz val="12"/>
      <color rgb="FF666666"/>
      <name val="Calibri"/>
      <family val="2"/>
    </font>
    <font>
      <i/>
      <sz val="12"/>
      <color rgb="FF555555"/>
      <name val="Calibri"/>
      <family val="2"/>
    </font>
    <font>
      <b/>
      <i/>
      <sz val="12"/>
      <color rgb="FF555555"/>
      <name val="Calibri"/>
      <family val="2"/>
    </font>
    <font>
      <b/>
      <sz val="11"/>
      <color rgb="FFFFFFFF"/>
      <name val="Calibri"/>
      <family val="2"/>
    </font>
    <font>
      <b/>
      <sz val="11"/>
      <name val="Calibri"/>
      <family val="2"/>
    </font>
    <font>
      <sz val="12"/>
      <name val="Calibri (Body)"/>
    </font>
    <font>
      <sz val="12"/>
      <color theme="1"/>
      <name val="Calibri (Body)"/>
    </font>
    <font>
      <i/>
      <sz val="12"/>
      <name val="Calibri (Body)"/>
    </font>
    <font>
      <i/>
      <sz val="12"/>
      <color rgb="FF555555"/>
      <name val="Calibri (Body)"/>
    </font>
    <font>
      <i/>
      <sz val="12"/>
      <name val="Calibri"/>
      <family val="2"/>
    </font>
    <font>
      <sz val="12"/>
      <name val="Calibri"/>
      <family val="2"/>
    </font>
    <font>
      <b/>
      <sz val="12"/>
      <name val="Calibri"/>
      <family val="2"/>
    </font>
  </fonts>
  <fills count="7">
    <fill>
      <patternFill patternType="none"/>
    </fill>
    <fill>
      <patternFill patternType="gray125"/>
    </fill>
    <fill>
      <patternFill patternType="solid">
        <fgColor rgb="FF4472C4"/>
      </patternFill>
    </fill>
    <fill>
      <patternFill patternType="solid">
        <fgColor rgb="FFD9E1F2"/>
      </patternFill>
    </fill>
    <fill>
      <patternFill patternType="solid">
        <fgColor rgb="FFF2F2F2"/>
      </patternFill>
    </fill>
    <fill>
      <patternFill patternType="solid">
        <fgColor rgb="FFFFF2CC"/>
      </patternFill>
    </fill>
    <fill>
      <patternFill patternType="solid">
        <fgColor rgb="FFE2EFDA"/>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diagonal/>
    </border>
    <border>
      <left/>
      <right style="thin">
        <color rgb="FFCCCCCC"/>
      </right>
      <top style="thin">
        <color rgb="FFCCCCCC"/>
      </top>
      <bottom/>
      <diagonal/>
    </border>
    <border>
      <left style="thin">
        <color rgb="FFCCCCCC"/>
      </left>
      <right/>
      <top/>
      <bottom/>
      <diagonal/>
    </border>
    <border>
      <left/>
      <right style="thin">
        <color rgb="FFCCCCCC"/>
      </right>
      <top/>
      <bottom/>
      <diagonal/>
    </border>
  </borders>
  <cellStyleXfs count="1">
    <xf numFmtId="0" fontId="0" fillId="0" borderId="0"/>
  </cellStyleXfs>
  <cellXfs count="57">
    <xf numFmtId="0" fontId="0" fillId="0" borderId="0" xfId="0"/>
    <xf numFmtId="0" fontId="5"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1" fontId="0" fillId="4" borderId="1" xfId="0" applyNumberFormat="1" applyFill="1" applyBorder="1" applyAlignment="1">
      <alignment horizontal="center" vertical="center" wrapText="1"/>
    </xf>
    <xf numFmtId="1" fontId="0" fillId="5" borderId="1" xfId="0" applyNumberFormat="1" applyFill="1" applyBorder="1" applyAlignment="1">
      <alignment horizontal="center" vertical="center" wrapText="1"/>
    </xf>
    <xf numFmtId="1" fontId="0" fillId="0" borderId="1" xfId="0" applyNumberFormat="1" applyBorder="1" applyAlignment="1">
      <alignment horizontal="center" vertical="center" wrapText="1"/>
    </xf>
    <xf numFmtId="164" fontId="4" fillId="6" borderId="1" xfId="0" applyNumberFormat="1" applyFont="1" applyFill="1" applyBorder="1" applyAlignment="1">
      <alignment horizontal="center" vertical="center" wrapText="1"/>
    </xf>
    <xf numFmtId="0" fontId="0" fillId="0" borderId="1" xfId="0" applyBorder="1" applyAlignment="1">
      <alignment horizontal="center" vertical="center" wrapText="1"/>
    </xf>
    <xf numFmtId="0" fontId="0" fillId="6" borderId="1" xfId="0" applyFill="1" applyBorder="1" applyAlignment="1">
      <alignment horizontal="center" vertical="center" wrapText="1"/>
    </xf>
    <xf numFmtId="164" fontId="0" fillId="6" borderId="1" xfId="0" applyNumberFormat="1" applyFill="1" applyBorder="1" applyAlignment="1">
      <alignment horizontal="center" vertical="center" wrapText="1"/>
    </xf>
    <xf numFmtId="165" fontId="0" fillId="0" borderId="1" xfId="0" applyNumberFormat="1" applyBorder="1" applyAlignment="1">
      <alignment horizontal="center" vertical="center" wrapText="1"/>
    </xf>
    <xf numFmtId="0" fontId="0" fillId="0" borderId="1" xfId="0" applyBorder="1" applyAlignment="1">
      <alignment horizontal="left" vertical="center" wrapText="1"/>
    </xf>
    <xf numFmtId="1" fontId="4" fillId="0" borderId="1" xfId="0" applyNumberFormat="1" applyFont="1" applyBorder="1" applyAlignment="1">
      <alignment horizontal="center" vertical="center" wrapText="1"/>
    </xf>
    <xf numFmtId="165" fontId="0" fillId="0" borderId="0" xfId="0" applyNumberFormat="1"/>
    <xf numFmtId="2" fontId="0" fillId="0" borderId="1" xfId="0" applyNumberFormat="1" applyBorder="1" applyAlignment="1">
      <alignment horizontal="center" vertical="center" wrapText="1"/>
    </xf>
    <xf numFmtId="0" fontId="4" fillId="0" borderId="1" xfId="0" applyFont="1" applyBorder="1" applyAlignment="1">
      <alignment horizontal="center" vertical="center" wrapText="1"/>
    </xf>
    <xf numFmtId="2" fontId="4" fillId="0" borderId="1"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0" fontId="4" fillId="0" borderId="0" xfId="0" applyFont="1"/>
    <xf numFmtId="0" fontId="5" fillId="2" borderId="0" xfId="0" applyFont="1" applyFill="1" applyAlignment="1">
      <alignment horizontal="center" vertical="center" wrapText="1"/>
    </xf>
    <xf numFmtId="166" fontId="0" fillId="0" borderId="1" xfId="0" applyNumberFormat="1" applyBorder="1" applyAlignment="1">
      <alignment horizontal="center" vertical="center" wrapText="1"/>
    </xf>
    <xf numFmtId="0" fontId="3" fillId="0" borderId="0" xfId="0" applyFont="1"/>
    <xf numFmtId="0" fontId="0" fillId="0" borderId="0" xfId="0"/>
    <xf numFmtId="0" fontId="1" fillId="0" borderId="0" xfId="0" applyFont="1" applyAlignment="1">
      <alignment horizontal="left" vertical="center" wrapText="1"/>
    </xf>
    <xf numFmtId="0" fontId="1" fillId="0" borderId="0" xfId="0" applyFont="1"/>
    <xf numFmtId="0" fontId="2" fillId="0" borderId="0" xfId="0" applyFont="1"/>
    <xf numFmtId="0" fontId="6" fillId="0" borderId="0" xfId="0" applyFont="1"/>
    <xf numFmtId="0" fontId="0" fillId="0" borderId="0" xfId="0" applyAlignment="1">
      <alignment horizontal="center"/>
    </xf>
    <xf numFmtId="0" fontId="7" fillId="0" borderId="0" xfId="0" applyFont="1" applyAlignment="1">
      <alignment horizontal="left" vertical="center" wrapText="1"/>
    </xf>
    <xf numFmtId="0" fontId="0" fillId="0" borderId="0" xfId="0" applyAlignment="1"/>
    <xf numFmtId="0" fontId="8" fillId="0" borderId="2" xfId="0" applyFont="1" applyBorder="1" applyAlignment="1">
      <alignment horizontal="left" vertical="center" wrapText="1"/>
    </xf>
    <xf numFmtId="0" fontId="9" fillId="0" borderId="0" xfId="0" applyFont="1" applyAlignment="1">
      <alignment horizontal="left" vertical="center" wrapText="1"/>
    </xf>
    <xf numFmtId="0" fontId="11"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wrapText="1"/>
    </xf>
    <xf numFmtId="0" fontId="0" fillId="0" borderId="9" xfId="0" applyBorder="1" applyAlignment="1">
      <alignment horizontal="center" vertical="center" wrapText="1"/>
    </xf>
    <xf numFmtId="0" fontId="12" fillId="0" borderId="0" xfId="0" applyFont="1" applyAlignment="1"/>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horizontal="left" vertical="center" wrapText="1"/>
    </xf>
    <xf numFmtId="0" fontId="14" fillId="0" borderId="0" xfId="0" applyFont="1" applyAlignment="1">
      <alignment horizontal="left" vertical="center" wrapText="1"/>
    </xf>
    <xf numFmtId="0" fontId="16" fillId="0" borderId="0" xfId="0" applyFont="1" applyAlignment="1">
      <alignment wrapText="1"/>
    </xf>
    <xf numFmtId="0" fontId="14" fillId="0" borderId="0" xfId="0" applyFont="1" applyAlignment="1">
      <alignment wrapText="1"/>
    </xf>
    <xf numFmtId="0" fontId="17" fillId="0" borderId="0" xfId="0" applyFont="1" applyAlignment="1">
      <alignment horizontal="left" vertical="center" wrapText="1"/>
    </xf>
    <xf numFmtId="0" fontId="16" fillId="0" borderId="0" xfId="0" applyFont="1" applyAlignment="1">
      <alignment horizontal="left" vertical="center" wrapText="1"/>
    </xf>
    <xf numFmtId="0" fontId="19" fillId="0" borderId="0" xfId="0" applyFont="1" applyAlignment="1">
      <alignment horizontal="left"/>
    </xf>
    <xf numFmtId="0" fontId="1" fillId="0" borderId="0" xfId="0" applyFont="1" applyAlignment="1">
      <alignment horizontal="left"/>
    </xf>
    <xf numFmtId="0" fontId="16"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TH"/>
        </a:p>
      </c:txPr>
    </c:title>
    <c:autoTitleDeleted val="0"/>
    <c:plotArea>
      <c:layout/>
      <c:barChart>
        <c:barDir val="col"/>
        <c:grouping val="clustered"/>
        <c:varyColors val="0"/>
        <c:ser>
          <c:idx val="0"/>
          <c:order val="0"/>
          <c:tx>
            <c:strRef>
              <c:f>'1. Обобщение данных'!$B$81</c:f>
              <c:strCache>
                <c:ptCount val="1"/>
                <c:pt idx="0">
                  <c:v>Частота 
nᵢ</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Обобщение данных'!$A$82:$A$89</c:f>
              <c:strCache>
                <c:ptCount val="8"/>
                <c:pt idx="0">
                  <c:v>[0,1)</c:v>
                </c:pt>
                <c:pt idx="1">
                  <c:v>[1,2)</c:v>
                </c:pt>
                <c:pt idx="2">
                  <c:v>[2,3)</c:v>
                </c:pt>
                <c:pt idx="3">
                  <c:v>[3,4)</c:v>
                </c:pt>
                <c:pt idx="4">
                  <c:v>[4,5)</c:v>
                </c:pt>
                <c:pt idx="5">
                  <c:v>[5,6)</c:v>
                </c:pt>
                <c:pt idx="6">
                  <c:v>[6,7)</c:v>
                </c:pt>
                <c:pt idx="7">
                  <c:v>[7,+∞)</c:v>
                </c:pt>
              </c:strCache>
            </c:strRef>
          </c:cat>
          <c:val>
            <c:numRef>
              <c:f>'1. Обобщение данных'!$B$82:$B$89</c:f>
              <c:numCache>
                <c:formatCode>General</c:formatCode>
                <c:ptCount val="8"/>
                <c:pt idx="0">
                  <c:v>22</c:v>
                </c:pt>
                <c:pt idx="1">
                  <c:v>16</c:v>
                </c:pt>
                <c:pt idx="2">
                  <c:v>13</c:v>
                </c:pt>
                <c:pt idx="3">
                  <c:v>4</c:v>
                </c:pt>
                <c:pt idx="4">
                  <c:v>1</c:v>
                </c:pt>
                <c:pt idx="5">
                  <c:v>0</c:v>
                </c:pt>
                <c:pt idx="6">
                  <c:v>3</c:v>
                </c:pt>
                <c:pt idx="7">
                  <c:v>1</c:v>
                </c:pt>
              </c:numCache>
            </c:numRef>
          </c:val>
          <c:extLst>
            <c:ext xmlns:c16="http://schemas.microsoft.com/office/drawing/2014/chart" uri="{C3380CC4-5D6E-409C-BE32-E72D297353CC}">
              <c16:uniqueId val="{00000000-D9C7-9048-BB0C-77CB8E5A18FC}"/>
            </c:ext>
          </c:extLst>
        </c:ser>
        <c:dLbls>
          <c:dLblPos val="inEnd"/>
          <c:showLegendKey val="0"/>
          <c:showVal val="1"/>
          <c:showCatName val="0"/>
          <c:showSerName val="0"/>
          <c:showPercent val="0"/>
          <c:showBubbleSize val="0"/>
        </c:dLbls>
        <c:gapWidth val="100"/>
        <c:overlap val="-24"/>
        <c:axId val="724747583"/>
        <c:axId val="692835583"/>
      </c:barChart>
      <c:catAx>
        <c:axId val="72474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TH"/>
          </a:p>
        </c:txPr>
        <c:crossAx val="692835583"/>
        <c:crosses val="autoZero"/>
        <c:auto val="1"/>
        <c:lblAlgn val="ctr"/>
        <c:lblOffset val="100"/>
        <c:noMultiLvlLbl val="0"/>
      </c:catAx>
      <c:valAx>
        <c:axId val="69283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TH"/>
          </a:p>
        </c:txPr>
        <c:crossAx val="72474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TH"/>
        </a:p>
      </c:txPr>
    </c:title>
    <c:autoTitleDeleted val="0"/>
    <c:plotArea>
      <c:layout/>
      <c:lineChart>
        <c:grouping val="standard"/>
        <c:varyColors val="0"/>
        <c:ser>
          <c:idx val="0"/>
          <c:order val="0"/>
          <c:tx>
            <c:strRef>
              <c:f>'1. Обобщение данных'!$B$93</c:f>
              <c:strCache>
                <c:ptCount val="1"/>
                <c:pt idx="0">
                  <c:v>Накопл. частота F_n</c:v>
                </c:pt>
              </c:strCache>
            </c:strRef>
          </c:tx>
          <c:spPr>
            <a:ln w="22225" cap="rnd" cmpd="sng" algn="ctr">
              <a:solidFill>
                <a:schemeClr val="accent1"/>
              </a:solidFill>
              <a:round/>
            </a:ln>
            <a:effectLst/>
          </c:spPr>
          <c:marker>
            <c:symbol val="none"/>
          </c:marker>
          <c:cat>
            <c:strRef>
              <c:f>'1. Обобщение данных'!$A$94:$A$101</c:f>
              <c:strCache>
                <c:ptCount val="8"/>
                <c:pt idx="0">
                  <c:v>[0,1)</c:v>
                </c:pt>
                <c:pt idx="1">
                  <c:v>[1,2)</c:v>
                </c:pt>
                <c:pt idx="2">
                  <c:v>[2,3)</c:v>
                </c:pt>
                <c:pt idx="3">
                  <c:v>[3,4)</c:v>
                </c:pt>
                <c:pt idx="4">
                  <c:v>[4,5)</c:v>
                </c:pt>
                <c:pt idx="5">
                  <c:v>[5,6)</c:v>
                </c:pt>
                <c:pt idx="6">
                  <c:v>[6,7)</c:v>
                </c:pt>
                <c:pt idx="7">
                  <c:v>[7,+∞)</c:v>
                </c:pt>
              </c:strCache>
            </c:strRef>
          </c:cat>
          <c:val>
            <c:numRef>
              <c:f>'1. Обобщение данных'!$B$94:$B$101</c:f>
              <c:numCache>
                <c:formatCode>General</c:formatCode>
                <c:ptCount val="8"/>
                <c:pt idx="0">
                  <c:v>22</c:v>
                </c:pt>
                <c:pt idx="1">
                  <c:v>38</c:v>
                </c:pt>
                <c:pt idx="2">
                  <c:v>51</c:v>
                </c:pt>
                <c:pt idx="3">
                  <c:v>55</c:v>
                </c:pt>
                <c:pt idx="4">
                  <c:v>56</c:v>
                </c:pt>
                <c:pt idx="5">
                  <c:v>56</c:v>
                </c:pt>
                <c:pt idx="6">
                  <c:v>59</c:v>
                </c:pt>
                <c:pt idx="7">
                  <c:v>60</c:v>
                </c:pt>
              </c:numCache>
            </c:numRef>
          </c:val>
          <c:smooth val="0"/>
          <c:extLst>
            <c:ext xmlns:c16="http://schemas.microsoft.com/office/drawing/2014/chart" uri="{C3380CC4-5D6E-409C-BE32-E72D297353CC}">
              <c16:uniqueId val="{00000000-DBF1-5443-BD6D-304BCC637A0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689727551"/>
        <c:axId val="689732927"/>
      </c:lineChart>
      <c:catAx>
        <c:axId val="68972755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TH"/>
          </a:p>
        </c:txPr>
        <c:crossAx val="689732927"/>
        <c:crosses val="autoZero"/>
        <c:auto val="1"/>
        <c:lblAlgn val="ctr"/>
        <c:lblOffset val="100"/>
        <c:noMultiLvlLbl val="0"/>
      </c:catAx>
      <c:valAx>
        <c:axId val="689732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TH"/>
          </a:p>
        </c:txPr>
        <c:crossAx val="68972755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TH"/>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ru-RU"/>
              <a:t>Плотность </a:t>
            </a:r>
            <a:r>
              <a:rPr lang="en-US"/>
              <a:t>t(k) — </a:t>
            </a:r>
            <a:r>
              <a:rPr lang="ru-RU"/>
              <a:t>проверка гипотезы о </a:t>
            </a:r>
            <a:r>
              <a:rPr lang="en-US"/>
              <a:t>M(X)</a:t>
            </a:r>
          </a:p>
        </c:rich>
      </c:tx>
      <c:overlay val="1"/>
    </c:title>
    <c:autoTitleDeleted val="0"/>
    <c:plotArea>
      <c:layout/>
      <c:scatterChart>
        <c:scatterStyle val="smoothMarker"/>
        <c:varyColors val="1"/>
        <c:ser>
          <c:idx val="0"/>
          <c:order val="0"/>
          <c:tx>
            <c:v>f(t)</c:v>
          </c:tx>
          <c:spPr>
            <a:ln w="20000">
              <a:solidFill>
                <a:srgbClr val="0000FF"/>
              </a:solidFill>
              <a:prstDash val="solid"/>
            </a:ln>
          </c:spPr>
          <c:marker>
            <c:symbol val="none"/>
          </c:marker>
          <c:xVal>
            <c:numRef>
              <c:f>'Данные графиков'!$F$4:$F$63</c:f>
              <c:numCache>
                <c:formatCode>0.000</c:formatCode>
                <c:ptCount val="60"/>
                <c:pt idx="0">
                  <c:v>-4</c:v>
                </c:pt>
                <c:pt idx="1">
                  <c:v>-3.8644067796610169</c:v>
                </c:pt>
                <c:pt idx="2">
                  <c:v>-3.7288135593220337</c:v>
                </c:pt>
                <c:pt idx="3">
                  <c:v>-3.593220338983051</c:v>
                </c:pt>
                <c:pt idx="4">
                  <c:v>-3.4576271186440679</c:v>
                </c:pt>
                <c:pt idx="5">
                  <c:v>-3.3220338983050848</c:v>
                </c:pt>
                <c:pt idx="6">
                  <c:v>-3.1864406779661016</c:v>
                </c:pt>
                <c:pt idx="7">
                  <c:v>-3.0508474576271185</c:v>
                </c:pt>
                <c:pt idx="8">
                  <c:v>-2.9152542372881358</c:v>
                </c:pt>
                <c:pt idx="9">
                  <c:v>-2.7796610169491522</c:v>
                </c:pt>
                <c:pt idx="10">
                  <c:v>-2.6440677966101696</c:v>
                </c:pt>
                <c:pt idx="11">
                  <c:v>-2.5084745762711864</c:v>
                </c:pt>
                <c:pt idx="12">
                  <c:v>-2.3728813559322033</c:v>
                </c:pt>
                <c:pt idx="13">
                  <c:v>-2.2372881355932206</c:v>
                </c:pt>
                <c:pt idx="14">
                  <c:v>-2.101694915254237</c:v>
                </c:pt>
                <c:pt idx="15">
                  <c:v>-1.9661016949152543</c:v>
                </c:pt>
                <c:pt idx="16">
                  <c:v>-1.8305084745762712</c:v>
                </c:pt>
                <c:pt idx="17">
                  <c:v>-1.6949152542372881</c:v>
                </c:pt>
                <c:pt idx="18">
                  <c:v>-1.5593220338983049</c:v>
                </c:pt>
                <c:pt idx="19">
                  <c:v>-1.4237288135593222</c:v>
                </c:pt>
                <c:pt idx="20">
                  <c:v>-1.2881355932203391</c:v>
                </c:pt>
                <c:pt idx="21">
                  <c:v>-1.152542372881356</c:v>
                </c:pt>
                <c:pt idx="22">
                  <c:v>-1.0169491525423728</c:v>
                </c:pt>
                <c:pt idx="23">
                  <c:v>-0.8813559322033897</c:v>
                </c:pt>
                <c:pt idx="24">
                  <c:v>-0.74576271186440657</c:v>
                </c:pt>
                <c:pt idx="25">
                  <c:v>-0.61016949152542388</c:v>
                </c:pt>
                <c:pt idx="26">
                  <c:v>-0.47457627118644075</c:v>
                </c:pt>
                <c:pt idx="27">
                  <c:v>-0.33898305084745761</c:v>
                </c:pt>
                <c:pt idx="28">
                  <c:v>-0.20338983050847448</c:v>
                </c:pt>
                <c:pt idx="29">
                  <c:v>-6.7796610169491345E-2</c:v>
                </c:pt>
                <c:pt idx="30">
                  <c:v>6.7796610169491345E-2</c:v>
                </c:pt>
                <c:pt idx="31">
                  <c:v>0.20338983050847492</c:v>
                </c:pt>
                <c:pt idx="32">
                  <c:v>0.33898305084745761</c:v>
                </c:pt>
                <c:pt idx="33">
                  <c:v>0.4745762711864403</c:v>
                </c:pt>
                <c:pt idx="34">
                  <c:v>0.61016949152542388</c:v>
                </c:pt>
                <c:pt idx="35">
                  <c:v>0.74576271186440657</c:v>
                </c:pt>
                <c:pt idx="36">
                  <c:v>0.88135593220339015</c:v>
                </c:pt>
                <c:pt idx="37">
                  <c:v>1.0169491525423728</c:v>
                </c:pt>
                <c:pt idx="38">
                  <c:v>1.1525423728813555</c:v>
                </c:pt>
                <c:pt idx="39">
                  <c:v>1.2881355932203391</c:v>
                </c:pt>
                <c:pt idx="40">
                  <c:v>1.4237288135593218</c:v>
                </c:pt>
                <c:pt idx="41">
                  <c:v>1.5593220338983054</c:v>
                </c:pt>
                <c:pt idx="42">
                  <c:v>1.6949152542372881</c:v>
                </c:pt>
                <c:pt idx="43">
                  <c:v>1.8305084745762707</c:v>
                </c:pt>
                <c:pt idx="44">
                  <c:v>1.9661016949152543</c:v>
                </c:pt>
                <c:pt idx="45">
                  <c:v>2.101694915254237</c:v>
                </c:pt>
                <c:pt idx="46">
                  <c:v>2.2372881355932206</c:v>
                </c:pt>
                <c:pt idx="47">
                  <c:v>2.3728813559322033</c:v>
                </c:pt>
                <c:pt idx="48">
                  <c:v>2.5084745762711869</c:v>
                </c:pt>
                <c:pt idx="49">
                  <c:v>2.6440677966101696</c:v>
                </c:pt>
                <c:pt idx="50">
                  <c:v>2.7796610169491522</c:v>
                </c:pt>
                <c:pt idx="51">
                  <c:v>2.9152542372881358</c:v>
                </c:pt>
                <c:pt idx="52">
                  <c:v>3.0508474576271185</c:v>
                </c:pt>
                <c:pt idx="53">
                  <c:v>3.1864406779661021</c:v>
                </c:pt>
                <c:pt idx="54">
                  <c:v>3.3220338983050848</c:v>
                </c:pt>
                <c:pt idx="55">
                  <c:v>3.4576271186440675</c:v>
                </c:pt>
                <c:pt idx="56">
                  <c:v>3.593220338983051</c:v>
                </c:pt>
                <c:pt idx="57">
                  <c:v>3.7288135593220337</c:v>
                </c:pt>
                <c:pt idx="58">
                  <c:v>3.8644067796610173</c:v>
                </c:pt>
                <c:pt idx="59">
                  <c:v>4</c:v>
                </c:pt>
              </c:numCache>
            </c:numRef>
          </c:xVal>
          <c:yVal>
            <c:numRef>
              <c:f>'Данные графиков'!$G$4:$G$63</c:f>
              <c:numCache>
                <c:formatCode>0.0000</c:formatCode>
                <c:ptCount val="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yVal>
          <c:smooth val="1"/>
          <c:extLst>
            <c:ext xmlns:c16="http://schemas.microsoft.com/office/drawing/2014/chart" uri="{C3380CC4-5D6E-409C-BE32-E72D297353CC}">
              <c16:uniqueId val="{00000000-4A76-7B4E-9871-6E6801369A2B}"/>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rPr lang="en-US"/>
                  <a:t>t</a:t>
                </a:r>
              </a:p>
            </c:rich>
          </c:tx>
          <c:overlay val="1"/>
        </c:title>
        <c:numFmt formatCode="0.000" sourceLinked="1"/>
        <c:majorTickMark val="none"/>
        <c:minorTickMark val="none"/>
        <c:tickLblPos val="nextTo"/>
        <c:crossAx val="20"/>
        <c:crosses val="autoZero"/>
        <c:crossBetween val="midCat"/>
        <c:majorUnit val="1"/>
      </c:valAx>
      <c:valAx>
        <c:axId val="20"/>
        <c:scaling>
          <c:orientation val="minMax"/>
        </c:scaling>
        <c:delete val="0"/>
        <c:axPos val="l"/>
        <c:title>
          <c:tx>
            <c:rich>
              <a:bodyPr/>
              <a:lstStyle/>
              <a:p>
                <a:pPr>
                  <a:defRPr/>
                </a:pPr>
                <a:r>
                  <a:rPr lang="ru-RU"/>
                  <a:t>Плотность </a:t>
                </a:r>
                <a:r>
                  <a:rPr lang="en-US"/>
                  <a:t>f(t)</a:t>
                </a:r>
              </a:p>
            </c:rich>
          </c:tx>
          <c:overlay val="1"/>
        </c:title>
        <c:numFmt formatCode="0.00" sourceLinked="0"/>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ru-RU"/>
              <a:t>Плотность </a:t>
            </a:r>
            <a:r>
              <a:rPr lang="en-US"/>
              <a:t>N(0,1) — </a:t>
            </a:r>
            <a:r>
              <a:rPr lang="ru-RU"/>
              <a:t>проверка гипотезы о доле </a:t>
            </a:r>
            <a:r>
              <a:rPr lang="en-US"/>
              <a:t>p</a:t>
            </a:r>
          </a:p>
        </c:rich>
      </c:tx>
      <c:overlay val="1"/>
    </c:title>
    <c:autoTitleDeleted val="0"/>
    <c:plotArea>
      <c:layout/>
      <c:scatterChart>
        <c:scatterStyle val="smoothMarker"/>
        <c:varyColors val="1"/>
        <c:ser>
          <c:idx val="0"/>
          <c:order val="0"/>
          <c:tx>
            <c:v>f(z)</c:v>
          </c:tx>
          <c:spPr>
            <a:ln w="20000">
              <a:solidFill>
                <a:srgbClr val="0000FF"/>
              </a:solidFill>
              <a:prstDash val="solid"/>
            </a:ln>
          </c:spPr>
          <c:marker>
            <c:symbol val="none"/>
          </c:marker>
          <c:xVal>
            <c:numRef>
              <c:f>'Данные графиков'!$J$4:$J$63</c:f>
              <c:numCache>
                <c:formatCode>0.000</c:formatCode>
                <c:ptCount val="60"/>
                <c:pt idx="0">
                  <c:v>-4</c:v>
                </c:pt>
                <c:pt idx="1">
                  <c:v>-3.8644067796610169</c:v>
                </c:pt>
                <c:pt idx="2">
                  <c:v>-3.7288135593220337</c:v>
                </c:pt>
                <c:pt idx="3">
                  <c:v>-3.593220338983051</c:v>
                </c:pt>
                <c:pt idx="4">
                  <c:v>-3.4576271186440679</c:v>
                </c:pt>
                <c:pt idx="5">
                  <c:v>-3.3220338983050848</c:v>
                </c:pt>
                <c:pt idx="6">
                  <c:v>-3.1864406779661016</c:v>
                </c:pt>
                <c:pt idx="7">
                  <c:v>-3.0508474576271185</c:v>
                </c:pt>
                <c:pt idx="8">
                  <c:v>-2.9152542372881358</c:v>
                </c:pt>
                <c:pt idx="9">
                  <c:v>-2.7796610169491522</c:v>
                </c:pt>
                <c:pt idx="10">
                  <c:v>-2.6440677966101696</c:v>
                </c:pt>
                <c:pt idx="11">
                  <c:v>-2.5084745762711864</c:v>
                </c:pt>
                <c:pt idx="12">
                  <c:v>-2.3728813559322033</c:v>
                </c:pt>
                <c:pt idx="13">
                  <c:v>-2.2372881355932206</c:v>
                </c:pt>
                <c:pt idx="14">
                  <c:v>-2.101694915254237</c:v>
                </c:pt>
                <c:pt idx="15">
                  <c:v>-1.9661016949152543</c:v>
                </c:pt>
                <c:pt idx="16">
                  <c:v>-1.8305084745762712</c:v>
                </c:pt>
                <c:pt idx="17">
                  <c:v>-1.6949152542372881</c:v>
                </c:pt>
                <c:pt idx="18">
                  <c:v>-1.5593220338983049</c:v>
                </c:pt>
                <c:pt idx="19">
                  <c:v>-1.4237288135593222</c:v>
                </c:pt>
                <c:pt idx="20">
                  <c:v>-1.2881355932203391</c:v>
                </c:pt>
                <c:pt idx="21">
                  <c:v>-1.152542372881356</c:v>
                </c:pt>
                <c:pt idx="22">
                  <c:v>-1.0169491525423728</c:v>
                </c:pt>
                <c:pt idx="23">
                  <c:v>-0.8813559322033897</c:v>
                </c:pt>
                <c:pt idx="24">
                  <c:v>-0.74576271186440657</c:v>
                </c:pt>
                <c:pt idx="25">
                  <c:v>-0.61016949152542388</c:v>
                </c:pt>
                <c:pt idx="26">
                  <c:v>-0.47457627118644075</c:v>
                </c:pt>
                <c:pt idx="27">
                  <c:v>-0.33898305084745761</c:v>
                </c:pt>
                <c:pt idx="28">
                  <c:v>-0.20338983050847448</c:v>
                </c:pt>
                <c:pt idx="29">
                  <c:v>-6.7796610169491345E-2</c:v>
                </c:pt>
                <c:pt idx="30">
                  <c:v>6.7796610169491345E-2</c:v>
                </c:pt>
                <c:pt idx="31">
                  <c:v>0.20338983050847492</c:v>
                </c:pt>
                <c:pt idx="32">
                  <c:v>0.33898305084745761</c:v>
                </c:pt>
                <c:pt idx="33">
                  <c:v>0.4745762711864403</c:v>
                </c:pt>
                <c:pt idx="34">
                  <c:v>0.61016949152542388</c:v>
                </c:pt>
                <c:pt idx="35">
                  <c:v>0.74576271186440657</c:v>
                </c:pt>
                <c:pt idx="36">
                  <c:v>0.88135593220339015</c:v>
                </c:pt>
                <c:pt idx="37">
                  <c:v>1.0169491525423728</c:v>
                </c:pt>
                <c:pt idx="38">
                  <c:v>1.1525423728813555</c:v>
                </c:pt>
                <c:pt idx="39">
                  <c:v>1.2881355932203391</c:v>
                </c:pt>
                <c:pt idx="40">
                  <c:v>1.4237288135593218</c:v>
                </c:pt>
                <c:pt idx="41">
                  <c:v>1.5593220338983054</c:v>
                </c:pt>
                <c:pt idx="42">
                  <c:v>1.6949152542372881</c:v>
                </c:pt>
                <c:pt idx="43">
                  <c:v>1.8305084745762707</c:v>
                </c:pt>
                <c:pt idx="44">
                  <c:v>1.9661016949152543</c:v>
                </c:pt>
                <c:pt idx="45">
                  <c:v>2.101694915254237</c:v>
                </c:pt>
                <c:pt idx="46">
                  <c:v>2.2372881355932206</c:v>
                </c:pt>
                <c:pt idx="47">
                  <c:v>2.3728813559322033</c:v>
                </c:pt>
                <c:pt idx="48">
                  <c:v>2.5084745762711869</c:v>
                </c:pt>
                <c:pt idx="49">
                  <c:v>2.6440677966101696</c:v>
                </c:pt>
                <c:pt idx="50">
                  <c:v>2.7796610169491522</c:v>
                </c:pt>
                <c:pt idx="51">
                  <c:v>2.9152542372881358</c:v>
                </c:pt>
                <c:pt idx="52">
                  <c:v>3.0508474576271185</c:v>
                </c:pt>
                <c:pt idx="53">
                  <c:v>3.1864406779661021</c:v>
                </c:pt>
                <c:pt idx="54">
                  <c:v>3.3220338983050848</c:v>
                </c:pt>
                <c:pt idx="55">
                  <c:v>3.4576271186440675</c:v>
                </c:pt>
                <c:pt idx="56">
                  <c:v>3.593220338983051</c:v>
                </c:pt>
                <c:pt idx="57">
                  <c:v>3.7288135593220337</c:v>
                </c:pt>
                <c:pt idx="58">
                  <c:v>3.8644067796610173</c:v>
                </c:pt>
                <c:pt idx="59">
                  <c:v>4</c:v>
                </c:pt>
              </c:numCache>
            </c:numRef>
          </c:xVal>
          <c:yVal>
            <c:numRef>
              <c:f>'Данные графиков'!$K$4:$K$63</c:f>
              <c:numCache>
                <c:formatCode>0.0000</c:formatCode>
                <c:ptCount val="60"/>
                <c:pt idx="0">
                  <c:v>1.3383022576488537E-4</c:v>
                </c:pt>
                <c:pt idx="1">
                  <c:v>2.2809270459460824E-4</c:v>
                </c:pt>
                <c:pt idx="2">
                  <c:v>3.8166632978775636E-4</c:v>
                </c:pt>
                <c:pt idx="3">
                  <c:v>6.2700581976949646E-4</c:v>
                </c:pt>
                <c:pt idx="4">
                  <c:v>1.0112873265285273E-3</c:v>
                </c:pt>
                <c:pt idx="5">
                  <c:v>1.6013741990548226E-3</c:v>
                </c:pt>
                <c:pt idx="6">
                  <c:v>2.4895815612865266E-3</c:v>
                </c:pt>
                <c:pt idx="7">
                  <c:v>3.7999261826397348E-3</c:v>
                </c:pt>
                <c:pt idx="8">
                  <c:v>5.6942854069931019E-3</c:v>
                </c:pt>
                <c:pt idx="9">
                  <c:v>8.3775797589945456E-3</c:v>
                </c:pt>
                <c:pt idx="10">
                  <c:v>1.2100774868145127E-2</c:v>
                </c:pt>
                <c:pt idx="11">
                  <c:v>1.7160228260718346E-2</c:v>
                </c:pt>
                <c:pt idx="12">
                  <c:v>2.38917636195051E-2</c:v>
                </c:pt>
                <c:pt idx="13">
                  <c:v>3.2657928030477248E-2</c:v>
                </c:pt>
                <c:pt idx="14">
                  <c:v>4.382725952481286E-2</c:v>
                </c:pt>
                <c:pt idx="15">
                  <c:v>5.7745117963690841E-2</c:v>
                </c:pt>
                <c:pt idx="16">
                  <c:v>7.4696714459307978E-2</c:v>
                </c:pt>
                <c:pt idx="17">
                  <c:v>9.4864341443597205E-2</c:v>
                </c:pt>
                <c:pt idx="18">
                  <c:v>0.11828230034278668</c:v>
                </c:pt>
                <c:pt idx="19">
                  <c:v>0.14479441061738854</c:v>
                </c:pt>
                <c:pt idx="20">
                  <c:v>0.17401997518110032</c:v>
                </c:pt>
                <c:pt idx="21">
                  <c:v>0.2053343826444923</c:v>
                </c:pt>
                <c:pt idx="22">
                  <c:v>0.23786991683988279</c:v>
                </c:pt>
                <c:pt idx="23">
                  <c:v>0.27054071544434488</c:v>
                </c:pt>
                <c:pt idx="24">
                  <c:v>0.3020932469868069</c:v>
                </c:pt>
                <c:pt idx="25">
                  <c:v>0.33118043297472494</c:v>
                </c:pt>
                <c:pt idx="26">
                  <c:v>0.35645408124298467</c:v>
                </c:pt>
                <c:pt idx="27">
                  <c:v>0.37666718208196492</c:v>
                </c:pt>
                <c:pt idx="28">
                  <c:v>0.39077542493631123</c:v>
                </c:pt>
                <c:pt idx="29">
                  <c:v>0.39802648790785983</c:v>
                </c:pt>
                <c:pt idx="30">
                  <c:v>0.39802648790785983</c:v>
                </c:pt>
                <c:pt idx="31">
                  <c:v>0.39077542493631118</c:v>
                </c:pt>
                <c:pt idx="32">
                  <c:v>0.37666718208196492</c:v>
                </c:pt>
                <c:pt idx="33">
                  <c:v>0.35645408124298472</c:v>
                </c:pt>
                <c:pt idx="34">
                  <c:v>0.33118043297472494</c:v>
                </c:pt>
                <c:pt idx="35">
                  <c:v>0.3020932469868069</c:v>
                </c:pt>
                <c:pt idx="36">
                  <c:v>0.27054071544434477</c:v>
                </c:pt>
                <c:pt idx="37">
                  <c:v>0.23786991683988279</c:v>
                </c:pt>
                <c:pt idx="38">
                  <c:v>0.20533438264449244</c:v>
                </c:pt>
                <c:pt idx="39">
                  <c:v>0.17401997518110032</c:v>
                </c:pt>
                <c:pt idx="40">
                  <c:v>0.14479441061738862</c:v>
                </c:pt>
                <c:pt idx="41">
                  <c:v>0.11828230034278661</c:v>
                </c:pt>
                <c:pt idx="42">
                  <c:v>9.4864341443597205E-2</c:v>
                </c:pt>
                <c:pt idx="43">
                  <c:v>7.4696714459308033E-2</c:v>
                </c:pt>
                <c:pt idx="44">
                  <c:v>5.7745117963690841E-2</c:v>
                </c:pt>
                <c:pt idx="45">
                  <c:v>4.382725952481286E-2</c:v>
                </c:pt>
                <c:pt idx="46">
                  <c:v>3.2657928030477248E-2</c:v>
                </c:pt>
                <c:pt idx="47">
                  <c:v>2.38917636195051E-2</c:v>
                </c:pt>
                <c:pt idx="48">
                  <c:v>1.7160228260718332E-2</c:v>
                </c:pt>
                <c:pt idx="49">
                  <c:v>1.2100774868145127E-2</c:v>
                </c:pt>
                <c:pt idx="50">
                  <c:v>8.3775797589945456E-3</c:v>
                </c:pt>
                <c:pt idx="51">
                  <c:v>5.6942854069931019E-3</c:v>
                </c:pt>
                <c:pt idx="52">
                  <c:v>3.7999261826397348E-3</c:v>
                </c:pt>
                <c:pt idx="53">
                  <c:v>2.4895815612865223E-3</c:v>
                </c:pt>
                <c:pt idx="54">
                  <c:v>1.6013741990548226E-3</c:v>
                </c:pt>
                <c:pt idx="55">
                  <c:v>1.0112873265285291E-3</c:v>
                </c:pt>
                <c:pt idx="56">
                  <c:v>6.2700581976949646E-4</c:v>
                </c:pt>
                <c:pt idx="57">
                  <c:v>3.8166632978775636E-4</c:v>
                </c:pt>
                <c:pt idx="58">
                  <c:v>2.2809270459460784E-4</c:v>
                </c:pt>
                <c:pt idx="59">
                  <c:v>1.3383022576488537E-4</c:v>
                </c:pt>
              </c:numCache>
            </c:numRef>
          </c:yVal>
          <c:smooth val="1"/>
          <c:extLst>
            <c:ext xmlns:c16="http://schemas.microsoft.com/office/drawing/2014/chart" uri="{C3380CC4-5D6E-409C-BE32-E72D297353CC}">
              <c16:uniqueId val="{00000000-33C0-5846-A0EB-B028603EFFB7}"/>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rPr lang="en-US"/>
                  <a:t>z</a:t>
                </a:r>
              </a:p>
            </c:rich>
          </c:tx>
          <c:overlay val="1"/>
        </c:title>
        <c:numFmt formatCode="0.000" sourceLinked="1"/>
        <c:majorTickMark val="none"/>
        <c:minorTickMark val="none"/>
        <c:tickLblPos val="nextTo"/>
        <c:crossAx val="20"/>
        <c:crosses val="autoZero"/>
        <c:crossBetween val="midCat"/>
        <c:majorUnit val="1"/>
      </c:valAx>
      <c:valAx>
        <c:axId val="20"/>
        <c:scaling>
          <c:orientation val="minMax"/>
        </c:scaling>
        <c:delete val="0"/>
        <c:axPos val="l"/>
        <c:title>
          <c:tx>
            <c:rich>
              <a:bodyPr/>
              <a:lstStyle/>
              <a:p>
                <a:pPr>
                  <a:defRPr/>
                </a:pPr>
                <a:r>
                  <a:rPr lang="ru-RU"/>
                  <a:t>Плотность </a:t>
                </a:r>
                <a:r>
                  <a:rPr lang="en-US"/>
                  <a:t>f(z)</a:t>
                </a:r>
              </a:p>
            </c:rich>
          </c:tx>
          <c:overlay val="1"/>
        </c:title>
        <c:numFmt formatCode="0.00" sourceLinked="0"/>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ru-RU"/>
              <a:t>Плотность </a:t>
            </a:r>
            <a:r>
              <a:rPr lang="el-GR"/>
              <a:t>χ²(</a:t>
            </a:r>
            <a:r>
              <a:rPr lang="en-US"/>
              <a:t>k) — </a:t>
            </a:r>
            <a:r>
              <a:rPr lang="ru-RU"/>
              <a:t>проверка нормальности</a:t>
            </a:r>
          </a:p>
        </c:rich>
      </c:tx>
      <c:overlay val="1"/>
    </c:title>
    <c:autoTitleDeleted val="0"/>
    <c:plotArea>
      <c:layout/>
      <c:scatterChart>
        <c:scatterStyle val="smoothMarker"/>
        <c:varyColors val="1"/>
        <c:ser>
          <c:idx val="0"/>
          <c:order val="0"/>
          <c:tx>
            <c:v>f(χ²)</c:v>
          </c:tx>
          <c:spPr>
            <a:ln w="20000">
              <a:solidFill>
                <a:srgbClr val="0000FF"/>
              </a:solidFill>
              <a:prstDash val="solid"/>
            </a:ln>
          </c:spPr>
          <c:marker>
            <c:symbol val="none"/>
          </c:marker>
          <c:xVal>
            <c:numRef>
              <c:f>'Данные графиков'!$N$4:$N$63</c:f>
              <c:numCache>
                <c:formatCode>0.000</c:formatCode>
                <c:ptCount val="60"/>
                <c:pt idx="0">
                  <c:v>0</c:v>
                </c:pt>
                <c:pt idx="1">
                  <c:v>0.25423728813559321</c:v>
                </c:pt>
                <c:pt idx="2">
                  <c:v>0.50847457627118642</c:v>
                </c:pt>
                <c:pt idx="3">
                  <c:v>0.76271186440677963</c:v>
                </c:pt>
                <c:pt idx="4">
                  <c:v>1.0169491525423728</c:v>
                </c:pt>
                <c:pt idx="5">
                  <c:v>1.271186440677966</c:v>
                </c:pt>
                <c:pt idx="6">
                  <c:v>1.5254237288135593</c:v>
                </c:pt>
                <c:pt idx="7">
                  <c:v>1.7796610169491525</c:v>
                </c:pt>
                <c:pt idx="8">
                  <c:v>2.0338983050847457</c:v>
                </c:pt>
                <c:pt idx="9">
                  <c:v>2.2881355932203391</c:v>
                </c:pt>
                <c:pt idx="10">
                  <c:v>2.5423728813559321</c:v>
                </c:pt>
                <c:pt idx="11">
                  <c:v>2.7966101694915251</c:v>
                </c:pt>
                <c:pt idx="12">
                  <c:v>3.0508474576271185</c:v>
                </c:pt>
                <c:pt idx="13">
                  <c:v>3.3050847457627119</c:v>
                </c:pt>
                <c:pt idx="14">
                  <c:v>3.5593220338983049</c:v>
                </c:pt>
                <c:pt idx="15">
                  <c:v>3.8135593220338979</c:v>
                </c:pt>
                <c:pt idx="16">
                  <c:v>4.0677966101694913</c:v>
                </c:pt>
                <c:pt idx="17">
                  <c:v>4.3220338983050848</c:v>
                </c:pt>
                <c:pt idx="18">
                  <c:v>4.5762711864406782</c:v>
                </c:pt>
                <c:pt idx="19">
                  <c:v>4.8305084745762707</c:v>
                </c:pt>
                <c:pt idx="20">
                  <c:v>5.0847457627118642</c:v>
                </c:pt>
                <c:pt idx="21">
                  <c:v>5.3389830508474576</c:v>
                </c:pt>
                <c:pt idx="22">
                  <c:v>5.5932203389830502</c:v>
                </c:pt>
                <c:pt idx="23">
                  <c:v>5.8474576271186436</c:v>
                </c:pt>
                <c:pt idx="24">
                  <c:v>6.101694915254237</c:v>
                </c:pt>
                <c:pt idx="25">
                  <c:v>6.3559322033898304</c:v>
                </c:pt>
                <c:pt idx="26">
                  <c:v>6.6101694915254239</c:v>
                </c:pt>
                <c:pt idx="27">
                  <c:v>6.8644067796610164</c:v>
                </c:pt>
                <c:pt idx="28">
                  <c:v>7.1186440677966099</c:v>
                </c:pt>
                <c:pt idx="29">
                  <c:v>7.3728813559322033</c:v>
                </c:pt>
                <c:pt idx="30">
                  <c:v>7.6271186440677958</c:v>
                </c:pt>
                <c:pt idx="31">
                  <c:v>7.8813559322033893</c:v>
                </c:pt>
                <c:pt idx="32">
                  <c:v>8.1355932203389827</c:v>
                </c:pt>
                <c:pt idx="33">
                  <c:v>8.3898305084745761</c:v>
                </c:pt>
                <c:pt idx="34">
                  <c:v>8.6440677966101696</c:v>
                </c:pt>
                <c:pt idx="35">
                  <c:v>8.898305084745763</c:v>
                </c:pt>
                <c:pt idx="36">
                  <c:v>9.1525423728813564</c:v>
                </c:pt>
                <c:pt idx="37">
                  <c:v>9.4067796610169481</c:v>
                </c:pt>
                <c:pt idx="38">
                  <c:v>9.6610169491525415</c:v>
                </c:pt>
                <c:pt idx="39">
                  <c:v>9.9152542372881349</c:v>
                </c:pt>
                <c:pt idx="40">
                  <c:v>10.169491525423728</c:v>
                </c:pt>
                <c:pt idx="41">
                  <c:v>10.423728813559322</c:v>
                </c:pt>
                <c:pt idx="42">
                  <c:v>10.677966101694915</c:v>
                </c:pt>
                <c:pt idx="43">
                  <c:v>10.932203389830509</c:v>
                </c:pt>
                <c:pt idx="44">
                  <c:v>11.1864406779661</c:v>
                </c:pt>
                <c:pt idx="45">
                  <c:v>11.440677966101694</c:v>
                </c:pt>
                <c:pt idx="46">
                  <c:v>11.694915254237287</c:v>
                </c:pt>
                <c:pt idx="47">
                  <c:v>11.949152542372881</c:v>
                </c:pt>
                <c:pt idx="48">
                  <c:v>12.203389830508474</c:v>
                </c:pt>
                <c:pt idx="49">
                  <c:v>12.457627118644067</c:v>
                </c:pt>
                <c:pt idx="50">
                  <c:v>12.711864406779661</c:v>
                </c:pt>
                <c:pt idx="51">
                  <c:v>12.966101694915254</c:v>
                </c:pt>
                <c:pt idx="52">
                  <c:v>13.220338983050848</c:v>
                </c:pt>
                <c:pt idx="53">
                  <c:v>13.474576271186439</c:v>
                </c:pt>
                <c:pt idx="54">
                  <c:v>13.728813559322033</c:v>
                </c:pt>
                <c:pt idx="55">
                  <c:v>13.983050847457626</c:v>
                </c:pt>
                <c:pt idx="56">
                  <c:v>14.23728813559322</c:v>
                </c:pt>
                <c:pt idx="57">
                  <c:v>14.491525423728813</c:v>
                </c:pt>
                <c:pt idx="58">
                  <c:v>14.745762711864407</c:v>
                </c:pt>
                <c:pt idx="59">
                  <c:v>15</c:v>
                </c:pt>
              </c:numCache>
            </c:numRef>
          </c:xVal>
          <c:yVal>
            <c:numRef>
              <c:f>'Данные графиков'!$O$4:$O$63</c:f>
              <c:numCache>
                <c:formatCode>0.0000</c:formatCode>
                <c:ptCount val="60"/>
                <c:pt idx="0">
                  <c:v>0.5</c:v>
                </c:pt>
                <c:pt idx="1">
                  <c:v>0.44031459248506782</c:v>
                </c:pt>
                <c:pt idx="2">
                  <c:v>0.38775388071058275</c:v>
                </c:pt>
                <c:pt idx="3">
                  <c:v>0.3414673839391677</c:v>
                </c:pt>
                <c:pt idx="4">
                  <c:v>0.30070614401223367</c:v>
                </c:pt>
                <c:pt idx="5">
                  <c:v>0.26481060651700555</c:v>
                </c:pt>
                <c:pt idx="6">
                  <c:v>0.23319994858851792</c:v>
                </c:pt>
                <c:pt idx="7">
                  <c:v>0.20536268066058408</c:v>
                </c:pt>
                <c:pt idx="8">
                  <c:v>0.1808483700934124</c:v>
                </c:pt>
                <c:pt idx="9">
                  <c:v>0.1592603527585392</c:v>
                </c:pt>
                <c:pt idx="10">
                  <c:v>0.14024931464780871</c:v>
                </c:pt>
                <c:pt idx="11">
                  <c:v>0.1235076396509199</c:v>
                </c:pt>
                <c:pt idx="12">
                  <c:v>0.1087644320433748</c:v>
                </c:pt>
                <c:pt idx="13">
                  <c:v>9.578113314409685E-2</c:v>
                </c:pt>
                <c:pt idx="14">
                  <c:v>8.4347661216202061E-2</c:v>
                </c:pt>
                <c:pt idx="15">
                  <c:v>7.4279012150961152E-2</c:v>
                </c:pt>
                <c:pt idx="16">
                  <c:v>6.5412265930887725E-2</c:v>
                </c:pt>
                <c:pt idx="17">
                  <c:v>5.7603950433767419E-2</c:v>
                </c:pt>
                <c:pt idx="18">
                  <c:v>5.0727719921548696E-2</c:v>
                </c:pt>
                <c:pt idx="19">
                  <c:v>4.4672310649906753E-2</c:v>
                </c:pt>
                <c:pt idx="20">
                  <c:v>3.9339740518360096E-2</c:v>
                </c:pt>
                <c:pt idx="21">
                  <c:v>3.4643723629620073E-2</c:v>
                </c:pt>
                <c:pt idx="22">
                  <c:v>3.0508274104282963E-2</c:v>
                </c:pt>
                <c:pt idx="23">
                  <c:v>2.68664765593002E-2</c:v>
                </c:pt>
                <c:pt idx="24">
                  <c:v>2.3659403355435787E-2</c:v>
                </c:pt>
                <c:pt idx="25">
                  <c:v>2.0835161093777109E-2</c:v>
                </c:pt>
                <c:pt idx="26">
                  <c:v>1.8348050932734415E-2</c:v>
                </c:pt>
                <c:pt idx="27">
                  <c:v>1.6157829138684451E-2</c:v>
                </c:pt>
                <c:pt idx="28">
                  <c:v>1.4229055905286395E-2</c:v>
                </c:pt>
                <c:pt idx="29">
                  <c:v>1.2530521904766853E-2</c:v>
                </c:pt>
                <c:pt idx="30">
                  <c:v>1.1034743292245269E-2</c:v>
                </c:pt>
                <c:pt idx="31">
                  <c:v>9.7175169918046235E-3</c:v>
                </c:pt>
                <c:pt idx="32">
                  <c:v>8.5575290684263491E-3</c:v>
                </c:pt>
                <c:pt idx="33">
                  <c:v>7.536009848886539E-3</c:v>
                </c:pt>
                <c:pt idx="34">
                  <c:v>6.6364302111518681E-3</c:v>
                </c:pt>
                <c:pt idx="35">
                  <c:v>5.8442341279578537E-3</c:v>
                </c:pt>
                <c:pt idx="36">
                  <c:v>5.1466031368781759E-3</c:v>
                </c:pt>
                <c:pt idx="37">
                  <c:v>4.5322489257937758E-3</c:v>
                </c:pt>
                <c:pt idx="38">
                  <c:v>3.9912306776035454E-3</c:v>
                </c:pt>
                <c:pt idx="39">
                  <c:v>3.5147942186458119E-3</c:v>
                </c:pt>
                <c:pt idx="40">
                  <c:v>3.0952303681038057E-3</c:v>
                </c:pt>
                <c:pt idx="41">
                  <c:v>2.7257501963580673E-3</c:v>
                </c:pt>
                <c:pt idx="42">
                  <c:v>2.4003751738509919E-3</c:v>
                </c:pt>
                <c:pt idx="43">
                  <c:v>2.1138404329709465E-3</c:v>
                </c:pt>
                <c:pt idx="44">
                  <c:v>1.8615095776441249E-3</c:v>
                </c:pt>
                <c:pt idx="45">
                  <c:v>1.639299662174847E-3</c:v>
                </c:pt>
                <c:pt idx="46">
                  <c:v>1.443615125422854E-3</c:v>
                </c:pt>
                <c:pt idx="47">
                  <c:v>1.2712896113116882E-3</c:v>
                </c:pt>
                <c:pt idx="48">
                  <c:v>1.1195347342704124E-3</c:v>
                </c:pt>
                <c:pt idx="49">
                  <c:v>9.8589496058631054E-4</c:v>
                </c:pt>
                <c:pt idx="50">
                  <c:v>8.6820787560728662E-4</c:v>
                </c:pt>
                <c:pt idx="51">
                  <c:v>7.6456919388069773E-4</c:v>
                </c:pt>
                <c:pt idx="52">
                  <c:v>6.7330194606043242E-4</c:v>
                </c:pt>
                <c:pt idx="53">
                  <c:v>5.9292934399800528E-4</c:v>
                </c:pt>
                <c:pt idx="54">
                  <c:v>5.221508849498406E-4</c:v>
                </c:pt>
                <c:pt idx="55">
                  <c:v>4.5982130824481315E-4</c:v>
                </c:pt>
                <c:pt idx="56">
                  <c:v>4.0493206391153128E-4</c:v>
                </c:pt>
                <c:pt idx="57">
                  <c:v>3.5659499341068667E-4</c:v>
                </c:pt>
                <c:pt idx="58">
                  <c:v>3.1402795841168387E-4</c:v>
                </c:pt>
                <c:pt idx="59">
                  <c:v>2.7654218507391681E-4</c:v>
                </c:pt>
              </c:numCache>
            </c:numRef>
          </c:yVal>
          <c:smooth val="1"/>
          <c:extLst>
            <c:ext xmlns:c16="http://schemas.microsoft.com/office/drawing/2014/chart" uri="{C3380CC4-5D6E-409C-BE32-E72D297353CC}">
              <c16:uniqueId val="{00000000-335E-A34D-AAA0-6BFD9D06B36E}"/>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rPr lang="el-GR"/>
                  <a:t>χ²</a:t>
                </a:r>
              </a:p>
            </c:rich>
          </c:tx>
          <c:overlay val="1"/>
        </c:title>
        <c:numFmt formatCode="0.000" sourceLinked="1"/>
        <c:majorTickMark val="none"/>
        <c:minorTickMark val="none"/>
        <c:tickLblPos val="nextTo"/>
        <c:crossAx val="20"/>
        <c:crosses val="autoZero"/>
        <c:crossBetween val="midCat"/>
        <c:majorUnit val="3"/>
      </c:valAx>
      <c:valAx>
        <c:axId val="20"/>
        <c:scaling>
          <c:orientation val="minMax"/>
        </c:scaling>
        <c:delete val="0"/>
        <c:axPos val="l"/>
        <c:title>
          <c:tx>
            <c:rich>
              <a:bodyPr/>
              <a:lstStyle/>
              <a:p>
                <a:pPr>
                  <a:defRPr/>
                </a:pPr>
                <a:r>
                  <a:rPr lang="ru-RU"/>
                  <a:t>Плотность </a:t>
                </a:r>
                <a:r>
                  <a:rPr lang="en-US"/>
                  <a:t>f(</a:t>
                </a:r>
                <a:r>
                  <a:rPr lang="el-GR"/>
                  <a:t>χ²)</a:t>
                </a:r>
              </a:p>
            </c:rich>
          </c:tx>
          <c:overlay val="1"/>
        </c:title>
        <c:numFmt formatCode="0.00" sourceLinked="0"/>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19050</xdr:colOff>
      <xdr:row>79</xdr:row>
      <xdr:rowOff>38100</xdr:rowOff>
    </xdr:from>
    <xdr:to>
      <xdr:col>19</xdr:col>
      <xdr:colOff>133350</xdr:colOff>
      <xdr:row>90</xdr:row>
      <xdr:rowOff>165100</xdr:rowOff>
    </xdr:to>
    <xdr:graphicFrame macro="">
      <xdr:nvGraphicFramePr>
        <xdr:cNvPr id="5" name="Chart 4">
          <a:extLst>
            <a:ext uri="{FF2B5EF4-FFF2-40B4-BE49-F238E27FC236}">
              <a16:creationId xmlns:a16="http://schemas.microsoft.com/office/drawing/2014/main" id="{BA69C9B4-C3F7-118C-6143-FF266FB1A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92</xdr:row>
      <xdr:rowOff>12700</xdr:rowOff>
    </xdr:from>
    <xdr:to>
      <xdr:col>19</xdr:col>
      <xdr:colOff>133350</xdr:colOff>
      <xdr:row>104</xdr:row>
      <xdr:rowOff>152400</xdr:rowOff>
    </xdr:to>
    <xdr:graphicFrame macro="">
      <xdr:nvGraphicFramePr>
        <xdr:cNvPr id="6" name="Chart 5">
          <a:extLst>
            <a:ext uri="{FF2B5EF4-FFF2-40B4-BE49-F238E27FC236}">
              <a16:creationId xmlns:a16="http://schemas.microsoft.com/office/drawing/2014/main" id="{B31FD961-A14B-3706-8139-DE35958F4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1498600</xdr:colOff>
      <xdr:row>13</xdr:row>
      <xdr:rowOff>175260</xdr:rowOff>
    </xdr:from>
    <xdr:to>
      <xdr:col>3</xdr:col>
      <xdr:colOff>1574800</xdr:colOff>
      <xdr:row>29</xdr:row>
      <xdr:rowOff>71009</xdr:rowOff>
    </xdr:to>
    <xdr:pic>
      <xdr:nvPicPr>
        <xdr:cNvPr id="3" name="Picture 2">
          <a:extLst>
            <a:ext uri="{FF2B5EF4-FFF2-40B4-BE49-F238E27FC236}">
              <a16:creationId xmlns:a16="http://schemas.microsoft.com/office/drawing/2014/main" id="{F2F51195-3840-0359-9C2C-59D0AA1DF75E}"/>
            </a:ext>
          </a:extLst>
        </xdr:cNvPr>
        <xdr:cNvPicPr>
          <a:picLocks noChangeAspect="1"/>
        </xdr:cNvPicPr>
      </xdr:nvPicPr>
      <xdr:blipFill>
        <a:blip xmlns:r="http://schemas.openxmlformats.org/officeDocument/2006/relationships" r:embed="rId1"/>
        <a:stretch>
          <a:fillRect/>
        </a:stretch>
      </xdr:blipFill>
      <xdr:spPr>
        <a:xfrm>
          <a:off x="1498600" y="5191760"/>
          <a:ext cx="6019800" cy="33501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5</xdr:row>
      <xdr:rowOff>0</xdr:rowOff>
    </xdr:from>
    <xdr:ext cx="5760000" cy="288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38</xdr:row>
      <xdr:rowOff>0</xdr:rowOff>
    </xdr:from>
    <xdr:ext cx="5760000" cy="288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0</xdr:colOff>
      <xdr:row>63</xdr:row>
      <xdr:rowOff>0</xdr:rowOff>
    </xdr:from>
    <xdr:ext cx="5760000" cy="288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19"/>
  <sheetViews>
    <sheetView topLeftCell="A97" zoomScale="120" zoomScaleNormal="120" workbookViewId="0">
      <selection activeCell="E15" sqref="E15"/>
    </sheetView>
  </sheetViews>
  <sheetFormatPr baseColWidth="10" defaultColWidth="8.83203125" defaultRowHeight="15"/>
  <cols>
    <col min="1" max="1" width="14.83203125" customWidth="1"/>
    <col min="2" max="2" width="10.1640625" bestFit="1" customWidth="1"/>
    <col min="3" max="3" width="14.83203125" bestFit="1" customWidth="1"/>
    <col min="4" max="4" width="14.33203125" bestFit="1" customWidth="1"/>
    <col min="5" max="5" width="12" bestFit="1" customWidth="1"/>
    <col min="6" max="6" width="9.83203125" bestFit="1" customWidth="1"/>
    <col min="7" max="32" width="4.5" customWidth="1"/>
  </cols>
  <sheetData>
    <row r="1" spans="1:32">
      <c r="A1" s="23" t="s">
        <v>0</v>
      </c>
      <c r="B1" s="22"/>
      <c r="C1" s="22"/>
      <c r="D1" s="22"/>
      <c r="E1" s="22"/>
      <c r="F1" s="22"/>
      <c r="G1" s="22"/>
      <c r="H1" s="22"/>
      <c r="I1" s="22"/>
      <c r="J1" s="22"/>
    </row>
    <row r="2" spans="1:32" ht="26" customHeight="1">
      <c r="A2" s="28" t="s">
        <v>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row>
    <row r="3" spans="1:32" ht="95" customHeight="1">
      <c r="A3" s="28" t="s">
        <v>199</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5" spans="1:32">
      <c r="A5" s="21" t="s">
        <v>2</v>
      </c>
      <c r="B5" s="22"/>
      <c r="C5" s="22"/>
      <c r="D5" s="22"/>
      <c r="E5" s="22"/>
      <c r="F5" s="22"/>
      <c r="G5" s="22"/>
      <c r="H5" s="22"/>
      <c r="I5" s="22"/>
      <c r="J5" s="22"/>
    </row>
    <row r="6" spans="1:32" ht="16">
      <c r="A6" s="1" t="s">
        <v>3</v>
      </c>
      <c r="B6" s="1">
        <v>1</v>
      </c>
      <c r="C6" s="1">
        <v>2</v>
      </c>
      <c r="D6" s="1">
        <v>3</v>
      </c>
      <c r="E6" s="1">
        <v>4</v>
      </c>
      <c r="F6" s="1">
        <v>5</v>
      </c>
      <c r="G6" s="1">
        <v>6</v>
      </c>
      <c r="H6" s="1">
        <v>7</v>
      </c>
      <c r="I6" s="1">
        <v>8</v>
      </c>
      <c r="J6" s="1">
        <v>9</v>
      </c>
      <c r="K6" s="1">
        <v>10</v>
      </c>
      <c r="L6" s="1">
        <v>11</v>
      </c>
      <c r="M6" s="1">
        <v>12</v>
      </c>
      <c r="N6" s="1">
        <v>13</v>
      </c>
      <c r="O6" s="1">
        <v>14</v>
      </c>
      <c r="P6" s="1">
        <v>15</v>
      </c>
      <c r="Q6" s="1">
        <v>16</v>
      </c>
      <c r="R6" s="1">
        <v>17</v>
      </c>
      <c r="S6" s="1">
        <v>18</v>
      </c>
      <c r="T6" s="1">
        <v>19</v>
      </c>
      <c r="U6" s="1">
        <v>20</v>
      </c>
      <c r="V6" s="1">
        <v>21</v>
      </c>
      <c r="W6" s="1">
        <v>22</v>
      </c>
      <c r="X6" s="1">
        <v>23</v>
      </c>
      <c r="Y6" s="1">
        <v>24</v>
      </c>
      <c r="Z6" s="1">
        <v>25</v>
      </c>
      <c r="AA6" s="1">
        <v>26</v>
      </c>
      <c r="AB6" s="1">
        <v>27</v>
      </c>
      <c r="AC6" s="1">
        <v>28</v>
      </c>
      <c r="AD6" s="1">
        <v>29</v>
      </c>
      <c r="AE6" s="1">
        <v>30</v>
      </c>
      <c r="AF6" s="1">
        <v>31</v>
      </c>
    </row>
    <row r="7" spans="1:32" ht="22" customHeight="1">
      <c r="A7" s="2" t="s">
        <v>4</v>
      </c>
      <c r="B7" s="3">
        <v>0</v>
      </c>
      <c r="C7" s="3">
        <v>0</v>
      </c>
      <c r="D7" s="3">
        <v>0</v>
      </c>
      <c r="E7" s="4">
        <v>0</v>
      </c>
      <c r="F7" s="5">
        <v>0</v>
      </c>
      <c r="G7" s="5">
        <v>0</v>
      </c>
      <c r="H7" s="5">
        <v>0</v>
      </c>
      <c r="I7" s="5">
        <v>0</v>
      </c>
      <c r="J7" s="5">
        <v>0</v>
      </c>
      <c r="K7" s="4">
        <v>0</v>
      </c>
      <c r="L7" s="4">
        <v>0</v>
      </c>
      <c r="M7" s="5">
        <v>0</v>
      </c>
      <c r="N7" s="5">
        <v>0</v>
      </c>
      <c r="O7" s="5">
        <v>0</v>
      </c>
      <c r="P7" s="5">
        <v>0</v>
      </c>
      <c r="Q7" s="5">
        <v>0</v>
      </c>
      <c r="R7" s="6">
        <v>1.8</v>
      </c>
      <c r="S7" s="4">
        <v>0</v>
      </c>
      <c r="T7" s="5">
        <v>0</v>
      </c>
      <c r="U7" s="6">
        <v>0.9</v>
      </c>
      <c r="V7" s="6">
        <v>0.8</v>
      </c>
      <c r="W7" s="5">
        <v>0</v>
      </c>
      <c r="X7" s="6">
        <v>2.5</v>
      </c>
      <c r="Y7" s="4">
        <v>0</v>
      </c>
      <c r="Z7" s="4">
        <v>0</v>
      </c>
      <c r="AA7" s="6">
        <v>1</v>
      </c>
      <c r="AB7" s="6">
        <v>3.6</v>
      </c>
      <c r="AC7" s="5">
        <v>0</v>
      </c>
      <c r="AD7" s="6">
        <v>6.2</v>
      </c>
      <c r="AE7" s="5">
        <v>0</v>
      </c>
      <c r="AF7" s="4">
        <v>0</v>
      </c>
    </row>
    <row r="8" spans="1:32" ht="22" customHeight="1">
      <c r="A8" s="2" t="s">
        <v>5</v>
      </c>
      <c r="B8" s="6">
        <v>1.3</v>
      </c>
      <c r="C8" s="6">
        <v>0.5</v>
      </c>
      <c r="D8" s="6">
        <v>1.7</v>
      </c>
      <c r="E8" s="5">
        <v>0</v>
      </c>
      <c r="F8" s="5">
        <v>0</v>
      </c>
      <c r="G8" s="5">
        <v>0</v>
      </c>
      <c r="H8" s="4">
        <v>0</v>
      </c>
      <c r="I8" s="6">
        <v>2.2999999999999998</v>
      </c>
      <c r="J8" s="5">
        <v>0</v>
      </c>
      <c r="K8" s="5">
        <v>0</v>
      </c>
      <c r="L8" s="5">
        <v>0</v>
      </c>
      <c r="M8" s="5">
        <v>0</v>
      </c>
      <c r="N8" s="5">
        <v>0</v>
      </c>
      <c r="O8" s="4">
        <v>0</v>
      </c>
      <c r="P8" s="6">
        <v>2.7</v>
      </c>
      <c r="Q8" s="6">
        <v>1.1000000000000001</v>
      </c>
      <c r="R8" s="6">
        <v>1.1000000000000001</v>
      </c>
      <c r="S8" s="5">
        <v>0</v>
      </c>
      <c r="T8" s="5">
        <v>0</v>
      </c>
      <c r="U8" s="5">
        <v>0</v>
      </c>
      <c r="V8" s="4">
        <v>0</v>
      </c>
      <c r="W8" s="4">
        <v>0</v>
      </c>
      <c r="X8" s="5">
        <v>0</v>
      </c>
      <c r="Y8" s="5">
        <v>0</v>
      </c>
      <c r="Z8" s="6">
        <v>2.8</v>
      </c>
      <c r="AA8" s="6">
        <v>2</v>
      </c>
      <c r="AB8" s="6">
        <v>2</v>
      </c>
      <c r="AC8" s="4">
        <v>0</v>
      </c>
      <c r="AD8" s="3">
        <v>0</v>
      </c>
      <c r="AE8" s="3">
        <v>0</v>
      </c>
      <c r="AF8" s="3">
        <v>0</v>
      </c>
    </row>
    <row r="9" spans="1:32" ht="22" customHeight="1">
      <c r="A9" s="2" t="s">
        <v>6</v>
      </c>
      <c r="B9" s="4">
        <v>0</v>
      </c>
      <c r="C9" s="5">
        <v>0</v>
      </c>
      <c r="D9" s="5">
        <v>0</v>
      </c>
      <c r="E9" s="5">
        <v>0</v>
      </c>
      <c r="F9" s="5">
        <v>0</v>
      </c>
      <c r="G9" s="5">
        <v>0</v>
      </c>
      <c r="H9" s="4">
        <v>0</v>
      </c>
      <c r="I9" s="4">
        <v>0</v>
      </c>
      <c r="J9" s="5">
        <v>0</v>
      </c>
      <c r="K9" s="5">
        <v>0</v>
      </c>
      <c r="L9" s="6">
        <v>6.6</v>
      </c>
      <c r="M9" s="5">
        <v>0</v>
      </c>
      <c r="N9" s="5">
        <v>0</v>
      </c>
      <c r="O9" s="4">
        <v>0</v>
      </c>
      <c r="P9" s="4">
        <v>0</v>
      </c>
      <c r="Q9" s="5">
        <v>0</v>
      </c>
      <c r="R9" s="5">
        <v>0</v>
      </c>
      <c r="S9" s="5">
        <v>0</v>
      </c>
      <c r="T9" s="5">
        <v>0</v>
      </c>
      <c r="U9" s="5">
        <v>0</v>
      </c>
      <c r="V9" s="4">
        <v>0</v>
      </c>
      <c r="W9" s="4">
        <v>0</v>
      </c>
      <c r="X9" s="5">
        <v>0</v>
      </c>
      <c r="Y9" s="5">
        <v>0</v>
      </c>
      <c r="Z9" s="5">
        <v>0</v>
      </c>
      <c r="AA9" s="5">
        <v>0</v>
      </c>
      <c r="AB9" s="5">
        <v>0</v>
      </c>
      <c r="AC9" s="4">
        <v>0</v>
      </c>
      <c r="AD9" s="4">
        <v>0</v>
      </c>
      <c r="AE9" s="5">
        <v>0</v>
      </c>
      <c r="AF9" s="6">
        <v>0.9</v>
      </c>
    </row>
    <row r="10" spans="1:32" ht="22" customHeight="1">
      <c r="A10" s="2" t="s">
        <v>7</v>
      </c>
      <c r="B10" s="5">
        <v>0</v>
      </c>
      <c r="C10" s="5">
        <v>0</v>
      </c>
      <c r="D10" s="5">
        <v>0</v>
      </c>
      <c r="E10" s="4">
        <v>0</v>
      </c>
      <c r="F10" s="4">
        <v>0</v>
      </c>
      <c r="G10" s="5">
        <v>0</v>
      </c>
      <c r="H10" s="5">
        <v>0</v>
      </c>
      <c r="I10" s="5">
        <v>0</v>
      </c>
      <c r="J10" s="5">
        <v>0</v>
      </c>
      <c r="K10" s="5">
        <v>0</v>
      </c>
      <c r="L10" s="4">
        <v>0</v>
      </c>
      <c r="M10" s="4">
        <v>0</v>
      </c>
      <c r="N10" s="5">
        <v>0</v>
      </c>
      <c r="O10" s="5">
        <v>0</v>
      </c>
      <c r="P10" s="5">
        <v>0</v>
      </c>
      <c r="Q10" s="5">
        <v>0</v>
      </c>
      <c r="R10" s="5">
        <v>0</v>
      </c>
      <c r="S10" s="4">
        <v>0</v>
      </c>
      <c r="T10" s="6">
        <v>2.1</v>
      </c>
      <c r="U10" s="6">
        <v>1</v>
      </c>
      <c r="V10" s="5">
        <v>0</v>
      </c>
      <c r="W10" s="6">
        <v>0.5</v>
      </c>
      <c r="X10" s="5">
        <v>0</v>
      </c>
      <c r="Y10" s="5">
        <v>0</v>
      </c>
      <c r="Z10" s="6">
        <v>2.7</v>
      </c>
      <c r="AA10" s="4">
        <v>0</v>
      </c>
      <c r="AB10" s="6">
        <v>0.9</v>
      </c>
      <c r="AC10" s="5">
        <v>0</v>
      </c>
      <c r="AD10" s="5">
        <v>0</v>
      </c>
      <c r="AE10" s="5">
        <v>0</v>
      </c>
      <c r="AF10" s="3">
        <v>0</v>
      </c>
    </row>
    <row r="11" spans="1:32" ht="22" customHeight="1">
      <c r="A11" s="2" t="s">
        <v>8</v>
      </c>
      <c r="B11" s="5">
        <v>0</v>
      </c>
      <c r="C11" s="6">
        <v>1</v>
      </c>
      <c r="D11" s="6">
        <v>2.8</v>
      </c>
      <c r="E11" s="5">
        <v>0</v>
      </c>
      <c r="F11" s="5">
        <v>0</v>
      </c>
      <c r="G11" s="5">
        <v>0</v>
      </c>
      <c r="H11" s="6">
        <v>1.4</v>
      </c>
      <c r="I11" s="6">
        <v>0.9</v>
      </c>
      <c r="J11" s="6">
        <v>4.9000000000000004</v>
      </c>
      <c r="K11" s="4">
        <v>0</v>
      </c>
      <c r="L11" s="5">
        <v>0</v>
      </c>
      <c r="M11" s="5">
        <v>0</v>
      </c>
      <c r="N11" s="5">
        <v>0</v>
      </c>
      <c r="O11" s="6">
        <v>1.3</v>
      </c>
      <c r="P11" s="6">
        <v>0.6</v>
      </c>
      <c r="Q11" s="6">
        <v>3</v>
      </c>
      <c r="R11" s="6">
        <v>0.6</v>
      </c>
      <c r="S11" s="6">
        <v>0.5</v>
      </c>
      <c r="T11" s="5">
        <v>0</v>
      </c>
      <c r="U11" s="5">
        <v>0</v>
      </c>
      <c r="V11" s="6">
        <v>1.3</v>
      </c>
      <c r="W11" s="5">
        <v>0</v>
      </c>
      <c r="X11" s="4">
        <v>0</v>
      </c>
      <c r="Y11" s="4">
        <v>0</v>
      </c>
      <c r="Z11" s="6">
        <v>1.8</v>
      </c>
      <c r="AA11" s="6">
        <v>1.5</v>
      </c>
      <c r="AB11" s="5">
        <v>0</v>
      </c>
      <c r="AC11" s="5">
        <v>0</v>
      </c>
      <c r="AD11" s="5">
        <v>0</v>
      </c>
      <c r="AE11" s="4">
        <v>0</v>
      </c>
      <c r="AF11" s="4">
        <v>0</v>
      </c>
    </row>
    <row r="12" spans="1:32" ht="22" customHeight="1">
      <c r="A12" s="2" t="s">
        <v>9</v>
      </c>
      <c r="B12" s="6">
        <v>1.6</v>
      </c>
      <c r="C12" s="6">
        <v>1.3</v>
      </c>
      <c r="D12" s="6">
        <v>3.1</v>
      </c>
      <c r="E12" s="6">
        <v>1.1000000000000001</v>
      </c>
      <c r="F12" s="5">
        <v>0</v>
      </c>
      <c r="G12" s="4">
        <v>0</v>
      </c>
      <c r="H12" s="6">
        <v>0.5</v>
      </c>
      <c r="I12" s="6">
        <v>0.5</v>
      </c>
      <c r="J12" s="6">
        <v>2</v>
      </c>
      <c r="K12" s="6">
        <v>2.1</v>
      </c>
      <c r="L12" s="5">
        <v>0</v>
      </c>
      <c r="M12" s="5">
        <v>0</v>
      </c>
      <c r="N12" s="6">
        <v>2.2999999999999998</v>
      </c>
      <c r="O12" s="4">
        <v>0</v>
      </c>
      <c r="P12" s="6">
        <v>0.6</v>
      </c>
      <c r="Q12" s="6">
        <v>0.6</v>
      </c>
      <c r="R12" s="6">
        <v>9.4</v>
      </c>
      <c r="S12" s="5">
        <v>0</v>
      </c>
      <c r="T12" s="6">
        <v>3</v>
      </c>
      <c r="U12" s="6">
        <v>2.8</v>
      </c>
      <c r="V12" s="6">
        <v>6.2</v>
      </c>
      <c r="W12" s="3">
        <v>0</v>
      </c>
      <c r="X12" s="3">
        <v>0</v>
      </c>
      <c r="Y12" s="3">
        <v>0</v>
      </c>
      <c r="Z12" s="3">
        <v>0</v>
      </c>
      <c r="AA12" s="3">
        <v>0</v>
      </c>
      <c r="AB12" s="3">
        <v>0</v>
      </c>
      <c r="AC12" s="3">
        <v>0</v>
      </c>
      <c r="AD12" s="3">
        <v>0</v>
      </c>
      <c r="AE12" s="3">
        <v>0</v>
      </c>
      <c r="AF12" s="3">
        <v>0</v>
      </c>
    </row>
    <row r="13" spans="1:32" ht="97" customHeight="1">
      <c r="A13" s="30" t="s">
        <v>185</v>
      </c>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row>
    <row r="15" spans="1:32">
      <c r="A15" s="45" t="s">
        <v>200</v>
      </c>
      <c r="B15" s="29"/>
      <c r="C15" s="29"/>
      <c r="D15" s="29"/>
      <c r="E15" s="29"/>
      <c r="F15" s="29"/>
    </row>
    <row r="16" spans="1:32" ht="32">
      <c r="A16" s="1" t="s">
        <v>10</v>
      </c>
      <c r="B16" s="1" t="s">
        <v>11</v>
      </c>
      <c r="C16" s="1" t="s">
        <v>12</v>
      </c>
      <c r="D16" s="1" t="s">
        <v>13</v>
      </c>
      <c r="E16" s="1" t="s">
        <v>14</v>
      </c>
      <c r="F16" s="1" t="s">
        <v>15</v>
      </c>
    </row>
    <row r="17" spans="1:6" ht="16">
      <c r="A17" s="7">
        <v>1</v>
      </c>
      <c r="B17" s="7" t="s">
        <v>16</v>
      </c>
      <c r="C17" s="7" t="s">
        <v>17</v>
      </c>
      <c r="D17" s="5">
        <v>0</v>
      </c>
      <c r="E17" s="7" t="s">
        <v>18</v>
      </c>
      <c r="F17" s="7">
        <v>1</v>
      </c>
    </row>
    <row r="18" spans="1:6" ht="16">
      <c r="A18" s="7">
        <v>2</v>
      </c>
      <c r="B18" s="7" t="s">
        <v>19</v>
      </c>
      <c r="C18" s="7" t="s">
        <v>20</v>
      </c>
      <c r="D18" s="5">
        <v>0</v>
      </c>
      <c r="E18" s="7" t="s">
        <v>18</v>
      </c>
      <c r="F18" s="7">
        <v>0</v>
      </c>
    </row>
    <row r="19" spans="1:6" ht="16">
      <c r="A19" s="7">
        <v>3</v>
      </c>
      <c r="B19" s="7" t="s">
        <v>21</v>
      </c>
      <c r="C19" s="7" t="s">
        <v>22</v>
      </c>
      <c r="D19" s="5">
        <v>0</v>
      </c>
      <c r="E19" s="7" t="s">
        <v>18</v>
      </c>
      <c r="F19" s="7">
        <v>0</v>
      </c>
    </row>
    <row r="20" spans="1:6" ht="16">
      <c r="A20" s="7">
        <v>4</v>
      </c>
      <c r="B20" s="7" t="s">
        <v>23</v>
      </c>
      <c r="C20" s="7" t="s">
        <v>24</v>
      </c>
      <c r="D20" s="5">
        <v>0</v>
      </c>
      <c r="E20" s="7" t="s">
        <v>18</v>
      </c>
      <c r="F20" s="7">
        <v>0</v>
      </c>
    </row>
    <row r="21" spans="1:6" ht="16">
      <c r="A21" s="7">
        <v>5</v>
      </c>
      <c r="B21" s="7" t="s">
        <v>25</v>
      </c>
      <c r="C21" s="7" t="s">
        <v>26</v>
      </c>
      <c r="D21" s="5">
        <v>0</v>
      </c>
      <c r="E21" s="7" t="s">
        <v>18</v>
      </c>
      <c r="F21" s="7">
        <v>0</v>
      </c>
    </row>
    <row r="22" spans="1:6" ht="16">
      <c r="A22" s="7">
        <v>6</v>
      </c>
      <c r="B22" s="7" t="s">
        <v>27</v>
      </c>
      <c r="C22" s="7" t="s">
        <v>28</v>
      </c>
      <c r="D22" s="5">
        <v>0</v>
      </c>
      <c r="E22" s="7" t="s">
        <v>18</v>
      </c>
      <c r="F22" s="7">
        <v>0</v>
      </c>
    </row>
    <row r="23" spans="1:6" ht="16">
      <c r="A23" s="7">
        <v>7</v>
      </c>
      <c r="B23" s="7" t="s">
        <v>29</v>
      </c>
      <c r="C23" s="7" t="s">
        <v>30</v>
      </c>
      <c r="D23" s="5">
        <v>0</v>
      </c>
      <c r="E23" s="7" t="s">
        <v>18</v>
      </c>
      <c r="F23" s="7">
        <v>1</v>
      </c>
    </row>
    <row r="24" spans="1:6" ht="16">
      <c r="A24" s="7">
        <v>8</v>
      </c>
      <c r="B24" s="7" t="s">
        <v>31</v>
      </c>
      <c r="C24" s="7" t="s">
        <v>17</v>
      </c>
      <c r="D24" s="5">
        <v>0</v>
      </c>
      <c r="E24" s="7" t="s">
        <v>18</v>
      </c>
      <c r="F24" s="7">
        <v>1</v>
      </c>
    </row>
    <row r="25" spans="1:6" ht="16">
      <c r="A25" s="8">
        <v>9</v>
      </c>
      <c r="B25" s="8" t="s">
        <v>32</v>
      </c>
      <c r="C25" s="8" t="s">
        <v>20</v>
      </c>
      <c r="D25" s="9">
        <v>0.5</v>
      </c>
      <c r="E25" s="8" t="s">
        <v>33</v>
      </c>
      <c r="F25" s="8">
        <v>0</v>
      </c>
    </row>
    <row r="26" spans="1:6" ht="16">
      <c r="A26" s="8">
        <v>10</v>
      </c>
      <c r="B26" s="8" t="s">
        <v>34</v>
      </c>
      <c r="C26" s="8" t="s">
        <v>24</v>
      </c>
      <c r="D26" s="9">
        <v>0.5</v>
      </c>
      <c r="E26" s="8" t="s">
        <v>33</v>
      </c>
      <c r="F26" s="8">
        <v>0</v>
      </c>
    </row>
    <row r="27" spans="1:6" ht="16">
      <c r="A27" s="8">
        <v>11</v>
      </c>
      <c r="B27" s="8" t="s">
        <v>35</v>
      </c>
      <c r="C27" s="8" t="s">
        <v>20</v>
      </c>
      <c r="D27" s="9">
        <v>0.5</v>
      </c>
      <c r="E27" s="8" t="s">
        <v>33</v>
      </c>
      <c r="F27" s="8">
        <v>0</v>
      </c>
    </row>
    <row r="28" spans="1:6" ht="16">
      <c r="A28" s="8">
        <v>12</v>
      </c>
      <c r="B28" s="8" t="s">
        <v>36</v>
      </c>
      <c r="C28" s="8" t="s">
        <v>17</v>
      </c>
      <c r="D28" s="9">
        <v>0.5</v>
      </c>
      <c r="E28" s="8" t="s">
        <v>33</v>
      </c>
      <c r="F28" s="8">
        <v>1</v>
      </c>
    </row>
    <row r="29" spans="1:6" ht="16">
      <c r="A29" s="8">
        <v>13</v>
      </c>
      <c r="B29" s="8" t="s">
        <v>37</v>
      </c>
      <c r="C29" s="8" t="s">
        <v>20</v>
      </c>
      <c r="D29" s="9">
        <v>0.5</v>
      </c>
      <c r="E29" s="8" t="s">
        <v>33</v>
      </c>
      <c r="F29" s="8">
        <v>0</v>
      </c>
    </row>
    <row r="30" spans="1:6" ht="16">
      <c r="A30" s="8">
        <v>14</v>
      </c>
      <c r="B30" s="8" t="s">
        <v>38</v>
      </c>
      <c r="C30" s="8" t="s">
        <v>28</v>
      </c>
      <c r="D30" s="9">
        <v>0.6</v>
      </c>
      <c r="E30" s="8" t="s">
        <v>33</v>
      </c>
      <c r="F30" s="8">
        <v>0</v>
      </c>
    </row>
    <row r="31" spans="1:6" ht="16">
      <c r="A31" s="8">
        <v>15</v>
      </c>
      <c r="B31" s="8" t="s">
        <v>39</v>
      </c>
      <c r="C31" s="8" t="s">
        <v>17</v>
      </c>
      <c r="D31" s="9">
        <v>0.6</v>
      </c>
      <c r="E31" s="8" t="s">
        <v>33</v>
      </c>
      <c r="F31" s="8">
        <v>1</v>
      </c>
    </row>
    <row r="32" spans="1:6" ht="16">
      <c r="A32" s="8">
        <v>16</v>
      </c>
      <c r="B32" s="8" t="s">
        <v>40</v>
      </c>
      <c r="C32" s="8" t="s">
        <v>20</v>
      </c>
      <c r="D32" s="9">
        <v>0.6</v>
      </c>
      <c r="E32" s="8" t="s">
        <v>33</v>
      </c>
      <c r="F32" s="8">
        <v>0</v>
      </c>
    </row>
    <row r="33" spans="1:6" ht="16">
      <c r="A33" s="8">
        <v>17</v>
      </c>
      <c r="B33" s="8" t="s">
        <v>41</v>
      </c>
      <c r="C33" s="8" t="s">
        <v>22</v>
      </c>
      <c r="D33" s="9">
        <v>0.6</v>
      </c>
      <c r="E33" s="8" t="s">
        <v>33</v>
      </c>
      <c r="F33" s="8">
        <v>0</v>
      </c>
    </row>
    <row r="34" spans="1:6" ht="16">
      <c r="A34" s="8">
        <v>18</v>
      </c>
      <c r="B34" s="8" t="s">
        <v>42</v>
      </c>
      <c r="C34" s="8" t="s">
        <v>24</v>
      </c>
      <c r="D34" s="9">
        <v>0.8</v>
      </c>
      <c r="E34" s="8" t="s">
        <v>33</v>
      </c>
      <c r="F34" s="8">
        <v>0</v>
      </c>
    </row>
    <row r="35" spans="1:6" ht="16">
      <c r="A35" s="8">
        <v>19</v>
      </c>
      <c r="B35" s="8" t="s">
        <v>43</v>
      </c>
      <c r="C35" s="8" t="s">
        <v>22</v>
      </c>
      <c r="D35" s="9">
        <v>0.9</v>
      </c>
      <c r="E35" s="8" t="s">
        <v>33</v>
      </c>
      <c r="F35" s="8">
        <v>0</v>
      </c>
    </row>
    <row r="36" spans="1:6" ht="16">
      <c r="A36" s="8">
        <v>20</v>
      </c>
      <c r="B36" s="8" t="s">
        <v>44</v>
      </c>
      <c r="C36" s="8" t="s">
        <v>22</v>
      </c>
      <c r="D36" s="9">
        <v>0.9</v>
      </c>
      <c r="E36" s="8" t="s">
        <v>33</v>
      </c>
      <c r="F36" s="8">
        <v>0</v>
      </c>
    </row>
    <row r="37" spans="1:6" ht="16">
      <c r="A37" s="8">
        <v>21</v>
      </c>
      <c r="B37" s="8" t="s">
        <v>45</v>
      </c>
      <c r="C37" s="8" t="s">
        <v>20</v>
      </c>
      <c r="D37" s="9">
        <v>0.9</v>
      </c>
      <c r="E37" s="8" t="s">
        <v>33</v>
      </c>
      <c r="F37" s="8">
        <v>0</v>
      </c>
    </row>
    <row r="38" spans="1:6" ht="16">
      <c r="A38" s="8">
        <v>22</v>
      </c>
      <c r="B38" s="8" t="s">
        <v>46</v>
      </c>
      <c r="C38" s="8" t="s">
        <v>28</v>
      </c>
      <c r="D38" s="9">
        <v>0.9</v>
      </c>
      <c r="E38" s="8" t="s">
        <v>33</v>
      </c>
      <c r="F38" s="8">
        <v>0</v>
      </c>
    </row>
    <row r="39" spans="1:6" ht="16">
      <c r="A39" s="8">
        <v>23</v>
      </c>
      <c r="B39" s="8" t="s">
        <v>47</v>
      </c>
      <c r="C39" s="8" t="s">
        <v>20</v>
      </c>
      <c r="D39" s="9">
        <v>1</v>
      </c>
      <c r="E39" s="8" t="s">
        <v>33</v>
      </c>
      <c r="F39" s="8">
        <v>0</v>
      </c>
    </row>
    <row r="40" spans="1:6" ht="16">
      <c r="A40" s="8">
        <v>24</v>
      </c>
      <c r="B40" s="8" t="s">
        <v>48</v>
      </c>
      <c r="C40" s="8" t="s">
        <v>20</v>
      </c>
      <c r="D40" s="9">
        <v>1</v>
      </c>
      <c r="E40" s="8" t="s">
        <v>33</v>
      </c>
      <c r="F40" s="8">
        <v>0</v>
      </c>
    </row>
    <row r="41" spans="1:6" ht="16">
      <c r="A41" s="8">
        <v>25</v>
      </c>
      <c r="B41" s="8" t="s">
        <v>49</v>
      </c>
      <c r="C41" s="8" t="s">
        <v>30</v>
      </c>
      <c r="D41" s="9">
        <v>1</v>
      </c>
      <c r="E41" s="8" t="s">
        <v>33</v>
      </c>
      <c r="F41" s="8">
        <v>1</v>
      </c>
    </row>
    <row r="42" spans="1:6" ht="16">
      <c r="A42" s="8">
        <v>26</v>
      </c>
      <c r="B42" s="8" t="s">
        <v>50</v>
      </c>
      <c r="C42" s="8" t="s">
        <v>20</v>
      </c>
      <c r="D42" s="9">
        <v>1.1000000000000001</v>
      </c>
      <c r="E42" s="8" t="s">
        <v>33</v>
      </c>
      <c r="F42" s="8">
        <v>0</v>
      </c>
    </row>
    <row r="43" spans="1:6" ht="16">
      <c r="A43" s="8">
        <v>27</v>
      </c>
      <c r="B43" s="8" t="s">
        <v>51</v>
      </c>
      <c r="C43" s="8" t="s">
        <v>22</v>
      </c>
      <c r="D43" s="9">
        <v>1.1000000000000001</v>
      </c>
      <c r="E43" s="8" t="s">
        <v>33</v>
      </c>
      <c r="F43" s="8">
        <v>0</v>
      </c>
    </row>
    <row r="44" spans="1:6" ht="16">
      <c r="A44" s="8">
        <v>28</v>
      </c>
      <c r="B44" s="8" t="s">
        <v>52</v>
      </c>
      <c r="C44" s="8" t="s">
        <v>26</v>
      </c>
      <c r="D44" s="9">
        <v>1.1000000000000001</v>
      </c>
      <c r="E44" s="8" t="s">
        <v>33</v>
      </c>
      <c r="F44" s="8">
        <v>0</v>
      </c>
    </row>
    <row r="45" spans="1:6" ht="16">
      <c r="A45" s="8">
        <v>29</v>
      </c>
      <c r="B45" s="8" t="s">
        <v>53</v>
      </c>
      <c r="C45" s="8" t="s">
        <v>17</v>
      </c>
      <c r="D45" s="9">
        <v>1.3</v>
      </c>
      <c r="E45" s="8" t="s">
        <v>33</v>
      </c>
      <c r="F45" s="8">
        <v>1</v>
      </c>
    </row>
    <row r="46" spans="1:6" ht="16">
      <c r="A46" s="8">
        <v>30</v>
      </c>
      <c r="B46" s="8" t="s">
        <v>54</v>
      </c>
      <c r="C46" s="8" t="s">
        <v>26</v>
      </c>
      <c r="D46" s="9">
        <v>1.3</v>
      </c>
      <c r="E46" s="8" t="s">
        <v>33</v>
      </c>
      <c r="F46" s="8">
        <v>0</v>
      </c>
    </row>
    <row r="47" spans="1:6" ht="16">
      <c r="A47" s="8">
        <v>31</v>
      </c>
      <c r="B47" s="8" t="s">
        <v>55</v>
      </c>
      <c r="C47" s="8" t="s">
        <v>26</v>
      </c>
      <c r="D47" s="9">
        <v>1.3</v>
      </c>
      <c r="E47" s="8" t="s">
        <v>33</v>
      </c>
      <c r="F47" s="8">
        <v>0</v>
      </c>
    </row>
    <row r="48" spans="1:6" ht="16">
      <c r="A48" s="8">
        <v>32</v>
      </c>
      <c r="B48" s="8" t="s">
        <v>56</v>
      </c>
      <c r="C48" s="8" t="s">
        <v>22</v>
      </c>
      <c r="D48" s="9">
        <v>1.3</v>
      </c>
      <c r="E48" s="8" t="s">
        <v>33</v>
      </c>
      <c r="F48" s="8">
        <v>0</v>
      </c>
    </row>
    <row r="49" spans="1:6" ht="16">
      <c r="A49" s="8">
        <v>33</v>
      </c>
      <c r="B49" s="8" t="s">
        <v>57</v>
      </c>
      <c r="C49" s="8" t="s">
        <v>26</v>
      </c>
      <c r="D49" s="9">
        <v>1.4</v>
      </c>
      <c r="E49" s="8" t="s">
        <v>33</v>
      </c>
      <c r="F49" s="8">
        <v>0</v>
      </c>
    </row>
    <row r="50" spans="1:6" ht="16">
      <c r="A50" s="8">
        <v>34</v>
      </c>
      <c r="B50" s="8" t="s">
        <v>58</v>
      </c>
      <c r="C50" s="8" t="s">
        <v>22</v>
      </c>
      <c r="D50" s="9">
        <v>1.5</v>
      </c>
      <c r="E50" s="8" t="s">
        <v>33</v>
      </c>
      <c r="F50" s="8">
        <v>0</v>
      </c>
    </row>
    <row r="51" spans="1:6" ht="16">
      <c r="A51" s="8">
        <v>35</v>
      </c>
      <c r="B51" s="8" t="s">
        <v>59</v>
      </c>
      <c r="C51" s="8" t="s">
        <v>20</v>
      </c>
      <c r="D51" s="9">
        <v>1.6</v>
      </c>
      <c r="E51" s="8" t="s">
        <v>33</v>
      </c>
      <c r="F51" s="8">
        <v>0</v>
      </c>
    </row>
    <row r="52" spans="1:6" ht="16">
      <c r="A52" s="8">
        <v>36</v>
      </c>
      <c r="B52" s="8" t="s">
        <v>60</v>
      </c>
      <c r="C52" s="8" t="s">
        <v>22</v>
      </c>
      <c r="D52" s="9">
        <v>1.7</v>
      </c>
      <c r="E52" s="8" t="s">
        <v>33</v>
      </c>
      <c r="F52" s="8">
        <v>0</v>
      </c>
    </row>
    <row r="53" spans="1:6" ht="16">
      <c r="A53" s="8">
        <v>37</v>
      </c>
      <c r="B53" s="8" t="s">
        <v>61</v>
      </c>
      <c r="C53" s="8" t="s">
        <v>30</v>
      </c>
      <c r="D53" s="9">
        <v>1.8</v>
      </c>
      <c r="E53" s="8" t="s">
        <v>33</v>
      </c>
      <c r="F53" s="8">
        <v>1</v>
      </c>
    </row>
    <row r="54" spans="1:6" ht="16">
      <c r="A54" s="8">
        <v>38</v>
      </c>
      <c r="B54" s="8" t="s">
        <v>62</v>
      </c>
      <c r="C54" s="8" t="s">
        <v>20</v>
      </c>
      <c r="D54" s="9">
        <v>1.8</v>
      </c>
      <c r="E54" s="8" t="s">
        <v>33</v>
      </c>
      <c r="F54" s="8">
        <v>0</v>
      </c>
    </row>
    <row r="55" spans="1:6" ht="16">
      <c r="A55" s="8">
        <v>39</v>
      </c>
      <c r="B55" s="8" t="s">
        <v>63</v>
      </c>
      <c r="C55" s="8" t="s">
        <v>26</v>
      </c>
      <c r="D55" s="9">
        <v>2</v>
      </c>
      <c r="E55" s="8" t="s">
        <v>33</v>
      </c>
      <c r="F55" s="8">
        <v>0</v>
      </c>
    </row>
    <row r="56" spans="1:6" ht="16">
      <c r="A56" s="8">
        <v>40</v>
      </c>
      <c r="B56" s="8" t="s">
        <v>64</v>
      </c>
      <c r="C56" s="8" t="s">
        <v>28</v>
      </c>
      <c r="D56" s="9">
        <v>2</v>
      </c>
      <c r="E56" s="8" t="s">
        <v>33</v>
      </c>
      <c r="F56" s="8">
        <v>0</v>
      </c>
    </row>
    <row r="57" spans="1:6" ht="16">
      <c r="A57" s="8">
        <v>41</v>
      </c>
      <c r="B57" s="8" t="s">
        <v>65</v>
      </c>
      <c r="C57" s="8" t="s">
        <v>22</v>
      </c>
      <c r="D57" s="9">
        <v>2</v>
      </c>
      <c r="E57" s="8" t="s">
        <v>33</v>
      </c>
      <c r="F57" s="8">
        <v>0</v>
      </c>
    </row>
    <row r="58" spans="1:6" ht="16">
      <c r="A58" s="8">
        <v>42</v>
      </c>
      <c r="B58" s="8" t="s">
        <v>66</v>
      </c>
      <c r="C58" s="8" t="s">
        <v>17</v>
      </c>
      <c r="D58" s="9">
        <v>2.1</v>
      </c>
      <c r="E58" s="8" t="s">
        <v>33</v>
      </c>
      <c r="F58" s="8">
        <v>1</v>
      </c>
    </row>
    <row r="59" spans="1:6" ht="16">
      <c r="A59" s="8">
        <v>43</v>
      </c>
      <c r="B59" s="8" t="s">
        <v>67</v>
      </c>
      <c r="C59" s="8" t="s">
        <v>24</v>
      </c>
      <c r="D59" s="9">
        <v>2.1</v>
      </c>
      <c r="E59" s="8" t="s">
        <v>33</v>
      </c>
      <c r="F59" s="8">
        <v>0</v>
      </c>
    </row>
    <row r="60" spans="1:6" ht="16">
      <c r="A60" s="8">
        <v>44</v>
      </c>
      <c r="B60" s="8" t="s">
        <v>68</v>
      </c>
      <c r="C60" s="8" t="s">
        <v>17</v>
      </c>
      <c r="D60" s="9">
        <v>2.2999999999999998</v>
      </c>
      <c r="E60" s="8" t="s">
        <v>33</v>
      </c>
      <c r="F60" s="8">
        <v>1</v>
      </c>
    </row>
    <row r="61" spans="1:6" ht="16">
      <c r="A61" s="8">
        <v>45</v>
      </c>
      <c r="B61" s="8" t="s">
        <v>69</v>
      </c>
      <c r="C61" s="8" t="s">
        <v>30</v>
      </c>
      <c r="D61" s="9">
        <v>2.2999999999999998</v>
      </c>
      <c r="E61" s="8" t="s">
        <v>33</v>
      </c>
      <c r="F61" s="8">
        <v>1</v>
      </c>
    </row>
    <row r="62" spans="1:6" ht="16">
      <c r="A62" s="8">
        <v>46</v>
      </c>
      <c r="B62" s="8" t="s">
        <v>70</v>
      </c>
      <c r="C62" s="8" t="s">
        <v>28</v>
      </c>
      <c r="D62" s="9">
        <v>2.5</v>
      </c>
      <c r="E62" s="8" t="s">
        <v>33</v>
      </c>
      <c r="F62" s="8">
        <v>0</v>
      </c>
    </row>
    <row r="63" spans="1:6" ht="16">
      <c r="A63" s="8">
        <v>47</v>
      </c>
      <c r="B63" s="8" t="s">
        <v>71</v>
      </c>
      <c r="C63" s="8" t="s">
        <v>17</v>
      </c>
      <c r="D63" s="9">
        <v>2.7</v>
      </c>
      <c r="E63" s="8" t="s">
        <v>33</v>
      </c>
      <c r="F63" s="8">
        <v>1</v>
      </c>
    </row>
    <row r="64" spans="1:6" ht="16">
      <c r="A64" s="8">
        <v>48</v>
      </c>
      <c r="B64" s="8" t="s">
        <v>72</v>
      </c>
      <c r="C64" s="8" t="s">
        <v>30</v>
      </c>
      <c r="D64" s="9">
        <v>2.7</v>
      </c>
      <c r="E64" s="8" t="s">
        <v>33</v>
      </c>
      <c r="F64" s="8">
        <v>1</v>
      </c>
    </row>
    <row r="65" spans="1:32" ht="16">
      <c r="A65" s="8">
        <v>49</v>
      </c>
      <c r="B65" s="8" t="s">
        <v>73</v>
      </c>
      <c r="C65" s="8" t="s">
        <v>24</v>
      </c>
      <c r="D65" s="9">
        <v>2.8</v>
      </c>
      <c r="E65" s="8" t="s">
        <v>33</v>
      </c>
      <c r="F65" s="8">
        <v>0</v>
      </c>
    </row>
    <row r="66" spans="1:32" ht="16">
      <c r="A66" s="8">
        <v>50</v>
      </c>
      <c r="B66" s="8" t="s">
        <v>74</v>
      </c>
      <c r="C66" s="8" t="s">
        <v>17</v>
      </c>
      <c r="D66" s="9">
        <v>2.8</v>
      </c>
      <c r="E66" s="8" t="s">
        <v>33</v>
      </c>
      <c r="F66" s="8">
        <v>1</v>
      </c>
    </row>
    <row r="67" spans="1:32" ht="16">
      <c r="A67" s="8">
        <v>51</v>
      </c>
      <c r="B67" s="8" t="s">
        <v>75</v>
      </c>
      <c r="C67" s="8" t="s">
        <v>30</v>
      </c>
      <c r="D67" s="9">
        <v>2.8</v>
      </c>
      <c r="E67" s="8" t="s">
        <v>33</v>
      </c>
      <c r="F67" s="8">
        <v>1</v>
      </c>
    </row>
    <row r="68" spans="1:32" ht="16">
      <c r="A68" s="8">
        <v>52</v>
      </c>
      <c r="B68" s="8" t="s">
        <v>76</v>
      </c>
      <c r="C68" s="8" t="s">
        <v>30</v>
      </c>
      <c r="D68" s="9">
        <v>3</v>
      </c>
      <c r="E68" s="8" t="s">
        <v>33</v>
      </c>
      <c r="F68" s="8">
        <v>1</v>
      </c>
    </row>
    <row r="69" spans="1:32" ht="16">
      <c r="A69" s="8">
        <v>53</v>
      </c>
      <c r="B69" s="8" t="s">
        <v>77</v>
      </c>
      <c r="C69" s="8" t="s">
        <v>28</v>
      </c>
      <c r="D69" s="9">
        <v>3</v>
      </c>
      <c r="E69" s="8" t="s">
        <v>33</v>
      </c>
      <c r="F69" s="8">
        <v>0</v>
      </c>
    </row>
    <row r="70" spans="1:32" ht="16">
      <c r="A70" s="8">
        <v>54</v>
      </c>
      <c r="B70" s="8" t="s">
        <v>78</v>
      </c>
      <c r="C70" s="8" t="s">
        <v>24</v>
      </c>
      <c r="D70" s="9">
        <v>3.1</v>
      </c>
      <c r="E70" s="8" t="s">
        <v>33</v>
      </c>
      <c r="F70" s="8">
        <v>0</v>
      </c>
    </row>
    <row r="71" spans="1:32" ht="16">
      <c r="A71" s="8">
        <v>55</v>
      </c>
      <c r="B71" s="8" t="s">
        <v>79</v>
      </c>
      <c r="C71" s="8" t="s">
        <v>22</v>
      </c>
      <c r="D71" s="9">
        <v>3.6</v>
      </c>
      <c r="E71" s="8" t="s">
        <v>33</v>
      </c>
      <c r="F71" s="8">
        <v>0</v>
      </c>
    </row>
    <row r="72" spans="1:32" ht="16">
      <c r="A72" s="8">
        <v>56</v>
      </c>
      <c r="B72" s="8" t="s">
        <v>80</v>
      </c>
      <c r="C72" s="8" t="s">
        <v>30</v>
      </c>
      <c r="D72" s="9">
        <v>4.9000000000000004</v>
      </c>
      <c r="E72" s="8" t="s">
        <v>33</v>
      </c>
      <c r="F72" s="8">
        <v>1</v>
      </c>
    </row>
    <row r="73" spans="1:32" ht="16">
      <c r="A73" s="8">
        <v>57</v>
      </c>
      <c r="B73" s="8" t="s">
        <v>81</v>
      </c>
      <c r="C73" s="8" t="s">
        <v>26</v>
      </c>
      <c r="D73" s="9">
        <v>6.2</v>
      </c>
      <c r="E73" s="8" t="s">
        <v>33</v>
      </c>
      <c r="F73" s="8">
        <v>0</v>
      </c>
    </row>
    <row r="74" spans="1:32" ht="16">
      <c r="A74" s="8">
        <v>58</v>
      </c>
      <c r="B74" s="8" t="s">
        <v>82</v>
      </c>
      <c r="C74" s="8" t="s">
        <v>17</v>
      </c>
      <c r="D74" s="9">
        <v>6.2</v>
      </c>
      <c r="E74" s="8" t="s">
        <v>33</v>
      </c>
      <c r="F74" s="8">
        <v>1</v>
      </c>
    </row>
    <row r="75" spans="1:32" ht="16">
      <c r="A75" s="8">
        <v>59</v>
      </c>
      <c r="B75" s="8" t="s">
        <v>83</v>
      </c>
      <c r="C75" s="8" t="s">
        <v>24</v>
      </c>
      <c r="D75" s="9">
        <v>6.6</v>
      </c>
      <c r="E75" s="8" t="s">
        <v>33</v>
      </c>
      <c r="F75" s="8">
        <v>0</v>
      </c>
    </row>
    <row r="76" spans="1:32" ht="16">
      <c r="A76" s="8">
        <v>60</v>
      </c>
      <c r="B76" s="8" t="s">
        <v>84</v>
      </c>
      <c r="C76" s="8" t="s">
        <v>24</v>
      </c>
      <c r="D76" s="9">
        <v>9.4</v>
      </c>
      <c r="E76" s="8" t="s">
        <v>33</v>
      </c>
      <c r="F76" s="8">
        <v>0</v>
      </c>
    </row>
    <row r="78" spans="1:32" ht="76" customHeight="1">
      <c r="A78" s="31" t="s">
        <v>186</v>
      </c>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row>
    <row r="80" spans="1:32">
      <c r="A80" s="21" t="s">
        <v>85</v>
      </c>
      <c r="B80" s="22"/>
      <c r="C80" s="22"/>
      <c r="D80" s="22"/>
      <c r="E80" s="22"/>
      <c r="F80" s="22"/>
      <c r="G80" s="22"/>
      <c r="H80" s="22"/>
    </row>
    <row r="81" spans="1:8" ht="48">
      <c r="A81" s="1" t="s">
        <v>86</v>
      </c>
      <c r="B81" s="32" t="s">
        <v>187</v>
      </c>
      <c r="C81" s="32" t="s">
        <v>188</v>
      </c>
      <c r="D81" s="32" t="s">
        <v>189</v>
      </c>
      <c r="E81" s="32" t="s">
        <v>190</v>
      </c>
    </row>
    <row r="82" spans="1:8" ht="16">
      <c r="A82" s="7" t="s">
        <v>89</v>
      </c>
      <c r="B82" s="7">
        <f>COUNTIFS(data,"&gt;=0",data,"&lt;1")</f>
        <v>22</v>
      </c>
      <c r="C82" s="10">
        <f t="shared" ref="C82:C89" si="0">B82/COUNT(data)</f>
        <v>0.36666666666666664</v>
      </c>
      <c r="D82" s="7">
        <f>B82</f>
        <v>22</v>
      </c>
      <c r="E82" s="10">
        <f t="shared" ref="E82:E89" si="1">D82/COUNT(data)</f>
        <v>0.36666666666666664</v>
      </c>
    </row>
    <row r="83" spans="1:8" ht="16">
      <c r="A83" s="7" t="s">
        <v>90</v>
      </c>
      <c r="B83" s="7">
        <f>COUNTIFS(data,"&gt;=1",data,"&lt;2")</f>
        <v>16</v>
      </c>
      <c r="C83" s="10">
        <f t="shared" si="0"/>
        <v>0.26666666666666666</v>
      </c>
      <c r="D83" s="7">
        <f t="shared" ref="D83:D89" si="2">D82+B83</f>
        <v>38</v>
      </c>
      <c r="E83" s="10">
        <f t="shared" si="1"/>
        <v>0.6333333333333333</v>
      </c>
    </row>
    <row r="84" spans="1:8" ht="16">
      <c r="A84" s="7" t="s">
        <v>91</v>
      </c>
      <c r="B84" s="7">
        <f>COUNTIFS(data,"&gt;=2",data,"&lt;3")</f>
        <v>13</v>
      </c>
      <c r="C84" s="10">
        <f t="shared" si="0"/>
        <v>0.21666666666666667</v>
      </c>
      <c r="D84" s="7">
        <f t="shared" si="2"/>
        <v>51</v>
      </c>
      <c r="E84" s="10">
        <f t="shared" si="1"/>
        <v>0.85</v>
      </c>
    </row>
    <row r="85" spans="1:8" ht="16">
      <c r="A85" s="7" t="s">
        <v>92</v>
      </c>
      <c r="B85" s="7">
        <f>COUNTIFS(data,"&gt;=3",data,"&lt;4")</f>
        <v>4</v>
      </c>
      <c r="C85" s="10">
        <f t="shared" si="0"/>
        <v>6.6666666666666666E-2</v>
      </c>
      <c r="D85" s="7">
        <f t="shared" si="2"/>
        <v>55</v>
      </c>
      <c r="E85" s="10">
        <f t="shared" si="1"/>
        <v>0.91666666666666663</v>
      </c>
    </row>
    <row r="86" spans="1:8" ht="16">
      <c r="A86" s="7" t="s">
        <v>93</v>
      </c>
      <c r="B86" s="7">
        <f>COUNTIFS(data,"&gt;=4",data,"&lt;5")</f>
        <v>1</v>
      </c>
      <c r="C86" s="10">
        <f t="shared" si="0"/>
        <v>1.6666666666666666E-2</v>
      </c>
      <c r="D86" s="7">
        <f t="shared" si="2"/>
        <v>56</v>
      </c>
      <c r="E86" s="10">
        <f t="shared" si="1"/>
        <v>0.93333333333333335</v>
      </c>
    </row>
    <row r="87" spans="1:8" ht="16">
      <c r="A87" s="7" t="s">
        <v>94</v>
      </c>
      <c r="B87" s="7">
        <f>COUNTIFS(data,"&gt;=5",data,"&lt;6")</f>
        <v>0</v>
      </c>
      <c r="C87" s="10">
        <f t="shared" si="0"/>
        <v>0</v>
      </c>
      <c r="D87" s="7">
        <f t="shared" si="2"/>
        <v>56</v>
      </c>
      <c r="E87" s="10">
        <f t="shared" si="1"/>
        <v>0.93333333333333335</v>
      </c>
    </row>
    <row r="88" spans="1:8" ht="16">
      <c r="A88" s="7" t="s">
        <v>95</v>
      </c>
      <c r="B88" s="7">
        <f>COUNTIFS(data,"&gt;=6",data,"&lt;7")</f>
        <v>3</v>
      </c>
      <c r="C88" s="10">
        <f t="shared" si="0"/>
        <v>0.05</v>
      </c>
      <c r="D88" s="7">
        <f t="shared" si="2"/>
        <v>59</v>
      </c>
      <c r="E88" s="10">
        <f t="shared" si="1"/>
        <v>0.98333333333333328</v>
      </c>
    </row>
    <row r="89" spans="1:8" ht="16">
      <c r="A89" s="7" t="s">
        <v>96</v>
      </c>
      <c r="B89" s="7">
        <f>COUNTIF(data,"&gt;=7")</f>
        <v>1</v>
      </c>
      <c r="C89" s="10">
        <f t="shared" si="0"/>
        <v>1.6666666666666666E-2</v>
      </c>
      <c r="D89" s="7">
        <f t="shared" si="2"/>
        <v>60</v>
      </c>
      <c r="E89" s="10">
        <f t="shared" si="1"/>
        <v>1</v>
      </c>
    </row>
    <row r="92" spans="1:8">
      <c r="A92" s="21" t="s">
        <v>97</v>
      </c>
      <c r="B92" s="22"/>
      <c r="C92" s="22"/>
      <c r="D92" s="22"/>
      <c r="E92" s="22"/>
      <c r="F92" s="22"/>
      <c r="G92" s="22"/>
      <c r="H92" s="22"/>
    </row>
    <row r="93" spans="1:8" ht="32">
      <c r="A93" s="32" t="s">
        <v>98</v>
      </c>
      <c r="B93" s="1" t="s">
        <v>87</v>
      </c>
      <c r="C93" s="1" t="s">
        <v>88</v>
      </c>
    </row>
    <row r="94" spans="1:8" ht="16">
      <c r="A94" s="7" t="s">
        <v>89</v>
      </c>
      <c r="B94" s="7">
        <f t="shared" ref="B94:B101" si="3">D82</f>
        <v>22</v>
      </c>
      <c r="C94" s="10">
        <f t="shared" ref="C94:C101" si="4">D82/COUNT(data)</f>
        <v>0.36666666666666664</v>
      </c>
    </row>
    <row r="95" spans="1:8" ht="16">
      <c r="A95" s="7" t="s">
        <v>90</v>
      </c>
      <c r="B95" s="7">
        <f t="shared" si="3"/>
        <v>38</v>
      </c>
      <c r="C95" s="10">
        <f t="shared" si="4"/>
        <v>0.6333333333333333</v>
      </c>
    </row>
    <row r="96" spans="1:8" ht="16">
      <c r="A96" s="7" t="s">
        <v>91</v>
      </c>
      <c r="B96" s="7">
        <f t="shared" si="3"/>
        <v>51</v>
      </c>
      <c r="C96" s="10">
        <f t="shared" si="4"/>
        <v>0.85</v>
      </c>
    </row>
    <row r="97" spans="1:5" ht="16">
      <c r="A97" s="7" t="s">
        <v>92</v>
      </c>
      <c r="B97" s="7">
        <f t="shared" si="3"/>
        <v>55</v>
      </c>
      <c r="C97" s="10">
        <f t="shared" si="4"/>
        <v>0.91666666666666663</v>
      </c>
    </row>
    <row r="98" spans="1:5" ht="16">
      <c r="A98" s="7" t="s">
        <v>93</v>
      </c>
      <c r="B98" s="7">
        <f t="shared" si="3"/>
        <v>56</v>
      </c>
      <c r="C98" s="10">
        <f t="shared" si="4"/>
        <v>0.93333333333333335</v>
      </c>
    </row>
    <row r="99" spans="1:5" ht="16">
      <c r="A99" s="7" t="s">
        <v>94</v>
      </c>
      <c r="B99" s="7">
        <f t="shared" si="3"/>
        <v>56</v>
      </c>
      <c r="C99" s="10">
        <f t="shared" si="4"/>
        <v>0.93333333333333335</v>
      </c>
    </row>
    <row r="100" spans="1:5" ht="16">
      <c r="A100" s="7" t="s">
        <v>95</v>
      </c>
      <c r="B100" s="7">
        <f t="shared" si="3"/>
        <v>59</v>
      </c>
      <c r="C100" s="10">
        <f t="shared" si="4"/>
        <v>0.98333333333333328</v>
      </c>
    </row>
    <row r="101" spans="1:5" ht="16">
      <c r="A101" s="7" t="s">
        <v>96</v>
      </c>
      <c r="B101" s="7">
        <f t="shared" si="3"/>
        <v>60</v>
      </c>
      <c r="C101" s="10">
        <f t="shared" si="4"/>
        <v>1</v>
      </c>
    </row>
    <row r="103" spans="1:5" ht="55" customHeight="1"/>
    <row r="104" spans="1:5">
      <c r="A104" s="21" t="s">
        <v>99</v>
      </c>
      <c r="B104" s="22"/>
      <c r="C104" s="22"/>
      <c r="D104" s="22"/>
      <c r="E104" s="22"/>
    </row>
    <row r="105" spans="1:5" ht="16">
      <c r="A105" s="33" t="s">
        <v>100</v>
      </c>
      <c r="B105" s="34"/>
      <c r="C105" s="35"/>
      <c r="D105" s="1" t="s">
        <v>101</v>
      </c>
    </row>
    <row r="106" spans="1:5" ht="16" customHeight="1">
      <c r="A106" s="36" t="s">
        <v>191</v>
      </c>
      <c r="B106" s="37"/>
      <c r="C106" s="38"/>
      <c r="D106" s="10">
        <f>MIN(data)</f>
        <v>0</v>
      </c>
    </row>
    <row r="107" spans="1:5" ht="16" customHeight="1">
      <c r="A107" s="39" t="s">
        <v>192</v>
      </c>
      <c r="B107" s="40"/>
      <c r="C107" s="41"/>
      <c r="D107" s="10">
        <f>MEDIAN(data)</f>
        <v>1.3</v>
      </c>
    </row>
    <row r="108" spans="1:5" ht="16" customHeight="1">
      <c r="A108" s="39" t="s">
        <v>193</v>
      </c>
      <c r="B108" s="40"/>
      <c r="C108" s="41"/>
      <c r="D108" s="10">
        <f>MAX(data)</f>
        <v>9.4</v>
      </c>
    </row>
    <row r="109" spans="1:5">
      <c r="A109" s="39" t="s">
        <v>194</v>
      </c>
      <c r="B109" s="40"/>
      <c r="C109" s="41"/>
      <c r="D109" s="10">
        <f>QUARTILE(data,1)</f>
        <v>0.6</v>
      </c>
    </row>
    <row r="110" spans="1:5">
      <c r="A110" s="39" t="s">
        <v>195</v>
      </c>
      <c r="B110" s="40"/>
      <c r="C110" s="41"/>
      <c r="D110" s="10">
        <f>QUARTILE(data,3)</f>
        <v>2.3499999999999996</v>
      </c>
    </row>
    <row r="111" spans="1:5" ht="16" customHeight="1">
      <c r="A111" s="39" t="s">
        <v>102</v>
      </c>
      <c r="B111" s="40"/>
      <c r="C111" s="41"/>
      <c r="D111" s="10">
        <f>D110-D109</f>
        <v>1.7499999999999996</v>
      </c>
    </row>
    <row r="112" spans="1:5" ht="16" customHeight="1">
      <c r="A112" s="39" t="s">
        <v>196</v>
      </c>
      <c r="B112" s="40"/>
      <c r="C112" s="41"/>
      <c r="D112" s="10">
        <f>PERCENTILE(data,0.9)</f>
        <v>3.1500000000000008</v>
      </c>
    </row>
    <row r="113" spans="1:4">
      <c r="A113" s="39" t="s">
        <v>197</v>
      </c>
      <c r="B113" s="40"/>
      <c r="C113" s="41"/>
      <c r="D113" s="10">
        <f>AVERAGE(data)</f>
        <v>1.7949999999999997</v>
      </c>
    </row>
    <row r="114" spans="1:4">
      <c r="A114" s="39" t="s">
        <v>198</v>
      </c>
      <c r="B114" s="40"/>
      <c r="C114" s="41"/>
      <c r="D114" s="10">
        <f>STDEV(data)</f>
        <v>1.8035205684100106</v>
      </c>
    </row>
    <row r="115" spans="1:4" ht="32" customHeight="1">
      <c r="A115" s="42"/>
      <c r="B115" s="43"/>
      <c r="C115" s="44"/>
      <c r="D115" s="10"/>
    </row>
    <row r="116" spans="1:4">
      <c r="A116" s="39" t="s">
        <v>103</v>
      </c>
      <c r="B116" s="40"/>
      <c r="C116" s="41"/>
      <c r="D116" s="10">
        <f>SKEW(data)</f>
        <v>2.0849971953162583</v>
      </c>
    </row>
    <row r="117" spans="1:4" ht="16" customHeight="1">
      <c r="A117" s="39" t="s">
        <v>104</v>
      </c>
      <c r="B117" s="40"/>
      <c r="C117" s="41"/>
      <c r="D117" s="10">
        <f>KURT(data)</f>
        <v>5.4563042260928523</v>
      </c>
    </row>
    <row r="119" spans="1:4">
      <c r="A119" s="39" t="s">
        <v>105</v>
      </c>
      <c r="B119" s="40"/>
      <c r="C119" s="41"/>
      <c r="D119" s="12">
        <f>COUNT(data)</f>
        <v>60</v>
      </c>
    </row>
  </sheetData>
  <mergeCells count="22">
    <mergeCell ref="A116:C116"/>
    <mergeCell ref="A117:C117"/>
    <mergeCell ref="A119:C119"/>
    <mergeCell ref="A114:C114"/>
    <mergeCell ref="A109:C109"/>
    <mergeCell ref="A110:C110"/>
    <mergeCell ref="A111:C111"/>
    <mergeCell ref="A113:C113"/>
    <mergeCell ref="A105:C105"/>
    <mergeCell ref="A106:C106"/>
    <mergeCell ref="A107:C107"/>
    <mergeCell ref="A108:C108"/>
    <mergeCell ref="A112:C112"/>
    <mergeCell ref="A80:H80"/>
    <mergeCell ref="A1:J1"/>
    <mergeCell ref="A5:J5"/>
    <mergeCell ref="A92:H92"/>
    <mergeCell ref="A104:E104"/>
    <mergeCell ref="A2:AF2"/>
    <mergeCell ref="A3:AF3"/>
    <mergeCell ref="A13:AF13"/>
    <mergeCell ref="A78:AF78"/>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topLeftCell="A6" workbookViewId="0">
      <selection activeCell="E12" sqref="E12"/>
    </sheetView>
  </sheetViews>
  <sheetFormatPr baseColWidth="10" defaultColWidth="8.83203125" defaultRowHeight="15"/>
  <cols>
    <col min="1" max="1" width="30" customWidth="1"/>
    <col min="2" max="2" width="16" customWidth="1"/>
    <col min="3" max="3" width="32" customWidth="1"/>
    <col min="4" max="4" width="32.1640625" customWidth="1"/>
    <col min="5" max="5" width="16" customWidth="1"/>
    <col min="6" max="6" width="14" customWidth="1"/>
  </cols>
  <sheetData>
    <row r="1" spans="1:6" ht="22" customHeight="1">
      <c r="A1" s="24" t="s">
        <v>106</v>
      </c>
      <c r="B1" s="22"/>
      <c r="C1" s="22"/>
      <c r="D1" s="22"/>
      <c r="E1" s="22"/>
      <c r="F1" s="22"/>
    </row>
    <row r="2" spans="1:6" ht="94" customHeight="1">
      <c r="A2" s="46" t="s">
        <v>201</v>
      </c>
      <c r="B2" s="47"/>
      <c r="C2" s="47"/>
      <c r="D2" s="47"/>
      <c r="E2" s="47"/>
      <c r="F2" s="47"/>
    </row>
    <row r="4" spans="1:6" ht="16">
      <c r="A4" s="1" t="s">
        <v>107</v>
      </c>
      <c r="B4" s="1" t="s">
        <v>101</v>
      </c>
      <c r="C4" s="1" t="s">
        <v>108</v>
      </c>
      <c r="D4" s="1" t="s">
        <v>109</v>
      </c>
    </row>
    <row r="5" spans="1:6" ht="32">
      <c r="A5" s="7" t="s">
        <v>110</v>
      </c>
      <c r="B5" s="10">
        <f>xbar</f>
        <v>1.7949999999999997</v>
      </c>
      <c r="C5" s="11" t="s">
        <v>111</v>
      </c>
      <c r="D5" s="11" t="s">
        <v>112</v>
      </c>
    </row>
    <row r="6" spans="1:6" ht="32">
      <c r="A6" s="7" t="s">
        <v>113</v>
      </c>
      <c r="B6" s="10">
        <f>s_std</f>
        <v>1.8035205684100106</v>
      </c>
      <c r="C6" s="11" t="s">
        <v>114</v>
      </c>
      <c r="D6" s="11" t="s">
        <v>115</v>
      </c>
    </row>
    <row r="7" spans="1:6">
      <c r="A7" s="27" t="s">
        <v>203</v>
      </c>
      <c r="B7" s="27">
        <f>n_val</f>
        <v>60</v>
      </c>
      <c r="C7" t="s">
        <v>204</v>
      </c>
    </row>
    <row r="8" spans="1:6" ht="82" customHeight="1">
      <c r="A8" s="46" t="s">
        <v>202</v>
      </c>
      <c r="B8" s="47"/>
      <c r="C8" s="47"/>
      <c r="D8" s="47"/>
      <c r="E8" s="47"/>
      <c r="F8" s="47"/>
    </row>
    <row r="10" spans="1:6" ht="25" customHeight="1">
      <c r="A10" s="24" t="s">
        <v>116</v>
      </c>
      <c r="B10" s="22"/>
      <c r="C10" s="22"/>
      <c r="D10" s="22"/>
      <c r="E10" s="22"/>
      <c r="F10" s="22"/>
    </row>
    <row r="12" spans="1:6" ht="16">
      <c r="A12" s="32" t="s">
        <v>117</v>
      </c>
      <c r="B12" s="32" t="s">
        <v>118</v>
      </c>
      <c r="C12" s="32" t="s">
        <v>119</v>
      </c>
      <c r="D12" s="32" t="s">
        <v>120</v>
      </c>
      <c r="E12" s="32" t="s">
        <v>121</v>
      </c>
    </row>
    <row r="13" spans="1:6" ht="16">
      <c r="A13" s="7">
        <v>0.9</v>
      </c>
      <c r="B13" s="10">
        <f>$B$5 - TINV(1 - $A$13, $B$7 - 1) * $B$6 / SQRT($B$7)</f>
        <v>1.4059135534913527</v>
      </c>
      <c r="C13" s="10">
        <f>$B$5 + TINV(1 - $A$13, $B$7 - 1) * $B$6 / SQRT($B$7)</f>
        <v>2.1840864465086467</v>
      </c>
      <c r="D13" s="10">
        <f>TINV(1 - $A$13, $B$7 - 1) * $B$6 / SQRT($B$7)</f>
        <v>0.38908644650864704</v>
      </c>
      <c r="E13" s="10">
        <f>TINV(1 - $A$13, $B$7 - 1)</f>
        <v>1.6710930321038957</v>
      </c>
    </row>
    <row r="15" spans="1:6" ht="46" customHeight="1"/>
    <row r="17" spans="1:6" ht="16">
      <c r="A17" s="50"/>
      <c r="B17" s="51"/>
      <c r="C17" s="51"/>
      <c r="D17" s="51"/>
      <c r="E17" s="51"/>
      <c r="F17" s="51"/>
    </row>
    <row r="19" spans="1:6">
      <c r="A19" s="21"/>
      <c r="B19" s="22"/>
      <c r="C19" s="22"/>
      <c r="D19" s="22"/>
      <c r="E19" s="22"/>
      <c r="F19" s="22"/>
    </row>
    <row r="33" spans="1:6" ht="54" customHeight="1">
      <c r="A33" s="48" t="s">
        <v>205</v>
      </c>
      <c r="B33" s="49"/>
      <c r="C33" s="49"/>
      <c r="D33" s="49"/>
      <c r="E33" s="49"/>
      <c r="F33" s="49"/>
    </row>
    <row r="36" spans="1:6" ht="19">
      <c r="A36" s="24" t="s">
        <v>122</v>
      </c>
      <c r="B36" s="22"/>
      <c r="C36" s="22"/>
      <c r="D36" s="22"/>
      <c r="E36" s="22"/>
      <c r="F36" s="22"/>
    </row>
    <row r="38" spans="1:6" ht="16">
      <c r="A38" s="1" t="s">
        <v>117</v>
      </c>
      <c r="B38" s="1" t="s">
        <v>123</v>
      </c>
      <c r="C38" s="1" t="s">
        <v>120</v>
      </c>
    </row>
    <row r="39" spans="1:6">
      <c r="A39" s="7">
        <v>0.5</v>
      </c>
      <c r="B39" s="10">
        <f>($B$5 + TINV(1 - A39, $B$7 - 1) * $B$6 / SQRT($B$7)) - ($B$5 - TINV(1 - A39, $B$7 - 1) * $B$6 / SQRT($B$7))</f>
        <v>0.31603459078717755</v>
      </c>
      <c r="C39" s="10">
        <f>TINV(1 - A39, $B$7 - 1) * $B$6 / SQRT($B$7)</f>
        <v>0.1580172953935888</v>
      </c>
    </row>
    <row r="40" spans="1:6">
      <c r="A40" s="7">
        <v>0.8</v>
      </c>
      <c r="B40" s="10">
        <f t="shared" ref="B40:B42" si="0">($B$5 + TINV(1 - A40, $B$7 - 1) * $B$6 / SQRT($B$7)) - ($B$5 - TINV(1 - A40, $B$7 - 1) * $B$6 / SQRT($B$7))</f>
        <v>0.60353504890688781</v>
      </c>
      <c r="C40" s="10">
        <f t="shared" ref="C40:C42" si="1">TINV(1 - A40, $B$7 - 1) * $B$6 / SQRT($B$7)</f>
        <v>0.30176752445344401</v>
      </c>
    </row>
    <row r="41" spans="1:6">
      <c r="A41" s="7">
        <v>0.95</v>
      </c>
      <c r="B41" s="10">
        <f t="shared" si="0"/>
        <v>0.93179753153585798</v>
      </c>
      <c r="C41" s="10">
        <f t="shared" si="1"/>
        <v>0.46589876576792905</v>
      </c>
    </row>
    <row r="42" spans="1:6">
      <c r="A42" s="7">
        <v>0.99</v>
      </c>
      <c r="B42" s="10">
        <f t="shared" si="0"/>
        <v>1.2394932352012715</v>
      </c>
      <c r="C42" s="10">
        <f t="shared" si="1"/>
        <v>0.61974661760063565</v>
      </c>
    </row>
    <row r="44" spans="1:6" ht="60" customHeight="1">
      <c r="A44" s="52" t="s">
        <v>206</v>
      </c>
      <c r="B44" s="52"/>
      <c r="C44" s="52"/>
      <c r="D44" s="52"/>
      <c r="E44" s="52"/>
      <c r="F44" s="52"/>
    </row>
  </sheetData>
  <mergeCells count="8">
    <mergeCell ref="A44:F44"/>
    <mergeCell ref="A2:F2"/>
    <mergeCell ref="A10:F10"/>
    <mergeCell ref="A19:F19"/>
    <mergeCell ref="A1:F1"/>
    <mergeCell ref="A8:F8"/>
    <mergeCell ref="A36:F36"/>
    <mergeCell ref="A33:F33"/>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4"/>
  <sheetViews>
    <sheetView tabSelected="1" topLeftCell="A25" workbookViewId="0">
      <selection activeCell="E30" sqref="E30"/>
    </sheetView>
  </sheetViews>
  <sheetFormatPr baseColWidth="10" defaultColWidth="8.83203125" defaultRowHeight="15"/>
  <cols>
    <col min="1" max="1" width="28" customWidth="1"/>
    <col min="2" max="2" width="50" customWidth="1"/>
    <col min="3" max="4" width="16" customWidth="1"/>
    <col min="5" max="5" width="18" customWidth="1"/>
    <col min="6" max="6" width="4" customWidth="1"/>
  </cols>
  <sheetData>
    <row r="1" spans="1:6" ht="22" customHeight="1">
      <c r="A1" s="24" t="s">
        <v>124</v>
      </c>
      <c r="B1" s="22"/>
      <c r="C1" s="22"/>
      <c r="D1" s="22"/>
      <c r="E1" s="22"/>
      <c r="F1" s="22"/>
    </row>
    <row r="2" spans="1:6" ht="22" customHeight="1">
      <c r="A2" s="54" t="s">
        <v>208</v>
      </c>
      <c r="B2" s="55"/>
      <c r="C2" s="55"/>
      <c r="D2" s="55"/>
      <c r="E2" s="55"/>
      <c r="F2" s="55"/>
    </row>
    <row r="3" spans="1:6" ht="45" customHeight="1">
      <c r="A3" s="53" t="s">
        <v>125</v>
      </c>
      <c r="B3" s="49"/>
      <c r="C3" s="49"/>
      <c r="D3" s="49"/>
      <c r="E3" s="49"/>
      <c r="F3" s="49"/>
    </row>
    <row r="5" spans="1:6" ht="16">
      <c r="A5" s="1" t="s">
        <v>126</v>
      </c>
      <c r="B5" s="1" t="s">
        <v>127</v>
      </c>
    </row>
    <row r="6" spans="1:6" ht="16">
      <c r="A6" s="11" t="s">
        <v>128</v>
      </c>
      <c r="B6" s="11" t="s">
        <v>129</v>
      </c>
    </row>
    <row r="7" spans="1:6" ht="16">
      <c r="A7" s="11" t="s">
        <v>130</v>
      </c>
      <c r="B7" s="11" t="s">
        <v>131</v>
      </c>
    </row>
    <row r="8" spans="1:6" ht="16">
      <c r="A8" s="11" t="s">
        <v>132</v>
      </c>
      <c r="B8" s="11" t="s">
        <v>133</v>
      </c>
    </row>
    <row r="9" spans="1:6" ht="16">
      <c r="A9" s="11" t="s">
        <v>134</v>
      </c>
      <c r="B9" s="11" t="s">
        <v>135</v>
      </c>
    </row>
    <row r="10" spans="1:6" ht="16">
      <c r="A10" s="11" t="s">
        <v>136</v>
      </c>
      <c r="B10" s="11">
        <f>n_val-1</f>
        <v>59</v>
      </c>
    </row>
    <row r="11" spans="1:6" ht="16">
      <c r="A11" s="11" t="s">
        <v>137</v>
      </c>
      <c r="B11" s="11">
        <f>(xbar-2)/(s_std/SQRT(n_val))</f>
        <v>-0.88045747842230671</v>
      </c>
    </row>
    <row r="12" spans="1:6" ht="16">
      <c r="A12" s="11" t="s">
        <v>138</v>
      </c>
      <c r="B12" s="11">
        <f>IF((xbar-2)/(s_std/SQRT(n_val))&lt;0,TDIST(-(xbar-2)/(s_std/SQRT(n_val)),n_val-1,1),1-TDIST((xbar-2)/(s_std/SQRT(n_val)),n_val-1,1))</f>
        <v>0.19109199314083486</v>
      </c>
    </row>
    <row r="13" spans="1:6" ht="16">
      <c r="A13" s="11" t="s">
        <v>139</v>
      </c>
      <c r="B13" s="11" t="str">
        <f>IF(B12&lt;0.05,"Отвергаем H₀","Не отвергаем H₀")&amp;" при α = 0.05"</f>
        <v>Не отвергаем H₀ при α = 0.05</v>
      </c>
    </row>
    <row r="14" spans="1:6" ht="32">
      <c r="A14" s="11" t="s">
        <v>140</v>
      </c>
      <c r="B14" s="11" t="s">
        <v>141</v>
      </c>
    </row>
    <row r="15" spans="1:6">
      <c r="C15" s="13">
        <f>-TINV(2*0.05,n_val-1)</f>
        <v>-1.6710930321038957</v>
      </c>
      <c r="D15" t="s">
        <v>142</v>
      </c>
    </row>
    <row r="16" spans="1:6">
      <c r="A16" s="25" t="str">
        <f>"График плотности t(k). t_набл = "&amp;TEXT(B11,"0.000")&amp;", p = "&amp;TEXT(B12,"0.0000")&amp;". Левосторонняя критическая область: t &lt; "&amp;TEXT(C15,"0.000")</f>
        <v>График плотности t(k). t_набл = -0.880, p = 0.1911. Левосторонняя критическая область: t &lt; -1.671</v>
      </c>
      <c r="B16" s="22"/>
      <c r="C16" s="22"/>
      <c r="D16" s="22"/>
      <c r="E16" s="22"/>
      <c r="F16" s="22"/>
    </row>
    <row r="35" spans="1:6" ht="25" customHeight="1">
      <c r="A35" s="24" t="s">
        <v>143</v>
      </c>
      <c r="B35" s="22"/>
      <c r="C35" s="22"/>
      <c r="D35" s="22"/>
      <c r="E35" s="22"/>
      <c r="F35" s="22"/>
    </row>
    <row r="36" spans="1:6" ht="25" customHeight="1">
      <c r="A36" s="54" t="s">
        <v>207</v>
      </c>
      <c r="B36" s="55"/>
      <c r="C36" s="55"/>
      <c r="D36" s="55"/>
      <c r="E36" s="55"/>
      <c r="F36" s="55"/>
    </row>
    <row r="37" spans="1:6" ht="61" customHeight="1">
      <c r="A37" s="56" t="s">
        <v>144</v>
      </c>
      <c r="B37" s="47"/>
      <c r="C37" s="47"/>
      <c r="D37" s="47"/>
      <c r="E37" s="47"/>
      <c r="F37" s="47"/>
    </row>
    <row r="38" spans="1:6" ht="16">
      <c r="A38" s="1" t="s">
        <v>126</v>
      </c>
      <c r="B38" s="1" t="s">
        <v>127</v>
      </c>
    </row>
    <row r="39" spans="1:6" ht="16">
      <c r="A39" s="11" t="s">
        <v>128</v>
      </c>
      <c r="B39" s="11" t="s">
        <v>145</v>
      </c>
    </row>
    <row r="40" spans="1:6" ht="16">
      <c r="A40" s="11" t="s">
        <v>130</v>
      </c>
      <c r="B40" s="11" t="s">
        <v>146</v>
      </c>
    </row>
    <row r="41" spans="1:6" ht="32">
      <c r="A41" s="11" t="s">
        <v>132</v>
      </c>
      <c r="B41" s="11" t="s">
        <v>147</v>
      </c>
    </row>
    <row r="42" spans="1:6" ht="16">
      <c r="A42" s="11" t="s">
        <v>134</v>
      </c>
      <c r="B42" s="11" t="s">
        <v>148</v>
      </c>
    </row>
    <row r="43" spans="1:6" ht="32">
      <c r="A43" s="11" t="s">
        <v>149</v>
      </c>
      <c r="B43" s="11">
        <f>SUM(wknd_flag)</f>
        <v>18</v>
      </c>
    </row>
    <row r="44" spans="1:6" ht="16">
      <c r="A44" s="11" t="s">
        <v>150</v>
      </c>
      <c r="B44" s="11">
        <f>SUMIFS(data,wknd_flag,1,data,"&gt;0")</f>
        <v>37.000000000000007</v>
      </c>
    </row>
    <row r="45" spans="1:6" ht="16">
      <c r="A45" s="11" t="s">
        <v>151</v>
      </c>
      <c r="B45" s="11">
        <f>B44/B43</f>
        <v>2.0555555555555558</v>
      </c>
    </row>
    <row r="46" spans="1:6" ht="16">
      <c r="A46" s="11" t="s">
        <v>152</v>
      </c>
      <c r="B46" s="11">
        <f>(B45-0.5)/SQRT(0.25/B43)</f>
        <v>13.19932658214889</v>
      </c>
    </row>
    <row r="47" spans="1:6" ht="16">
      <c r="A47" s="11" t="s">
        <v>138</v>
      </c>
      <c r="B47" s="11">
        <f>2*(1-NORMSDIST(ABS(B46)))</f>
        <v>0</v>
      </c>
    </row>
    <row r="48" spans="1:6" ht="16">
      <c r="A48" s="11" t="s">
        <v>139</v>
      </c>
      <c r="B48" s="11" t="str">
        <f>IF(B47&lt;0.05,"Отвергаем H₀","Не отвергаем H₀")&amp;" при α = 0.05"</f>
        <v>Отвергаем H₀ при α = 0.05</v>
      </c>
    </row>
    <row r="49" spans="1:6" ht="48">
      <c r="A49" s="11" t="s">
        <v>140</v>
      </c>
      <c r="B49" s="11" t="s">
        <v>153</v>
      </c>
    </row>
    <row r="50" spans="1:6">
      <c r="C50" s="13">
        <f>NORMSINV(1-0.05/2)</f>
        <v>1.9599639845400536</v>
      </c>
      <c r="D50" t="s">
        <v>154</v>
      </c>
    </row>
    <row r="51" spans="1:6">
      <c r="A51" s="25" t="str">
        <f>"График плотности N(0,1). z_набл = "&amp;TEXT(B46,"0.000")&amp;", p = "&amp;TEXT(B47,"0.0000")&amp;". Двусторонняя критическая область: |z| &gt; "&amp;TEXT(C50,"0.000")</f>
        <v>График плотности N(0,1). z_набл = 13.199, p = 0.0000. Двусторонняя критическая область: |z| &gt; 1.960</v>
      </c>
      <c r="B51" s="22"/>
      <c r="C51" s="22"/>
      <c r="D51" s="22"/>
      <c r="E51" s="22"/>
      <c r="F51" s="22"/>
    </row>
    <row r="54" spans="1:6" ht="25" customHeight="1">
      <c r="A54" s="24" t="s">
        <v>155</v>
      </c>
      <c r="B54" s="22"/>
      <c r="C54" s="22"/>
      <c r="D54" s="22"/>
      <c r="E54" s="22"/>
      <c r="F54" s="22"/>
    </row>
    <row r="55" spans="1:6">
      <c r="A55" s="25" t="s">
        <v>156</v>
      </c>
      <c r="B55" s="22"/>
      <c r="C55" s="22"/>
      <c r="D55" s="22"/>
      <c r="E55" s="22"/>
      <c r="F55" s="22"/>
    </row>
    <row r="56" spans="1:6" ht="16">
      <c r="A56" s="1" t="s">
        <v>157</v>
      </c>
      <c r="B56" s="1" t="s">
        <v>158</v>
      </c>
      <c r="C56" s="1" t="s">
        <v>159</v>
      </c>
      <c r="D56" s="1" t="s">
        <v>160</v>
      </c>
    </row>
    <row r="57" spans="1:6" ht="16">
      <c r="A57" s="7" t="s">
        <v>89</v>
      </c>
      <c r="B57" s="7">
        <f>COUNTIFS(data,"&gt;="&amp;0,data,"&lt;"&amp;1)</f>
        <v>22</v>
      </c>
      <c r="C57" s="14">
        <f>COUNT(data)*(NORMDIST(1,xbar,s_std,TRUE)-NORMDIST(0,xbar,s_std,TRUE))</f>
        <v>10.192568476122265</v>
      </c>
      <c r="D57" s="10">
        <f>(B57-C57)^2/C57</f>
        <v>13.678145946987243</v>
      </c>
    </row>
    <row r="58" spans="1:6" ht="16">
      <c r="A58" s="7" t="s">
        <v>90</v>
      </c>
      <c r="B58" s="7">
        <f>COUNTIFS(data,"&gt;="&amp;1,data,"&lt;"&amp;2)</f>
        <v>16</v>
      </c>
      <c r="C58" s="14">
        <f>COUNT(data)*(NORMDIST(2,xbar,s_std,TRUE)-NORMDIST(1,xbar,s_std,TRUE))</f>
        <v>12.934300768259545</v>
      </c>
      <c r="D58" s="10">
        <f>(B58-C58)^2/C58</f>
        <v>0.7266347016266802</v>
      </c>
    </row>
    <row r="59" spans="1:6" ht="16">
      <c r="A59" s="7" t="s">
        <v>91</v>
      </c>
      <c r="B59" s="7">
        <f>COUNTIFS(data,"&gt;="&amp;2,data,"&lt;"&amp;3)</f>
        <v>13</v>
      </c>
      <c r="C59" s="14">
        <f>COUNT(data)*(NORMDIST(3,xbar,s_std,TRUE)-NORMDIST(2,xbar,s_std,TRUE))</f>
        <v>12.163691518674169</v>
      </c>
      <c r="D59" s="10">
        <f>(B59-C59)^2/C59</f>
        <v>5.7499968234458639E-2</v>
      </c>
    </row>
    <row r="60" spans="1:6" ht="16">
      <c r="A60" s="7" t="s">
        <v>92</v>
      </c>
      <c r="B60" s="7">
        <f>COUNTIFS(data,"&gt;="&amp;3,data,"&lt;"&amp;4)</f>
        <v>4</v>
      </c>
      <c r="C60" s="14">
        <f>COUNT(data)*(NORMDIST(4,xbar,s_std,TRUE)-NORMDIST(3,xbar,s_std,TRUE))</f>
        <v>8.4770464866993755</v>
      </c>
      <c r="D60" s="10">
        <f>(B60-C60)^2/C60</f>
        <v>2.3644963225713695</v>
      </c>
    </row>
    <row r="61" spans="1:6" ht="16">
      <c r="A61" s="7" t="s">
        <v>161</v>
      </c>
      <c r="B61" s="7">
        <f>COUNTIF(data,"&gt;="&amp;4)</f>
        <v>5</v>
      </c>
      <c r="C61" s="14">
        <f>COUNT(data)*(NORMDIST(1000000000,xbar,s_std,TRUE)-NORMDIST(4,xbar,s_std,TRUE))</f>
        <v>6.6443253741461543</v>
      </c>
      <c r="D61" s="10">
        <f>(B61-C61)^2/C61</f>
        <v>0.40693460717347091</v>
      </c>
    </row>
    <row r="62" spans="1:6" ht="16">
      <c r="A62" s="15" t="s">
        <v>162</v>
      </c>
      <c r="B62" s="15">
        <f>SUM(B57:B61)</f>
        <v>60</v>
      </c>
      <c r="C62" s="16">
        <f>SUM(C57:C61)</f>
        <v>50.411932623901514</v>
      </c>
      <c r="D62" s="17">
        <f>SUM(D57:D61)</f>
        <v>17.233711546593224</v>
      </c>
    </row>
    <row r="64" spans="1:6" ht="16">
      <c r="A64" s="11" t="s">
        <v>163</v>
      </c>
      <c r="B64" s="11" t="s">
        <v>164</v>
      </c>
    </row>
    <row r="65" spans="1:6" ht="16">
      <c r="A65" s="11" t="s">
        <v>128</v>
      </c>
      <c r="B65" s="11" t="s">
        <v>165</v>
      </c>
    </row>
    <row r="66" spans="1:6" ht="16">
      <c r="A66" s="11" t="s">
        <v>130</v>
      </c>
      <c r="B66" s="11" t="s">
        <v>166</v>
      </c>
    </row>
    <row r="67" spans="1:6" ht="16">
      <c r="A67" s="11" t="s">
        <v>167</v>
      </c>
      <c r="B67" s="11" t="s">
        <v>168</v>
      </c>
    </row>
    <row r="68" spans="1:6" ht="16">
      <c r="A68" s="11" t="s">
        <v>136</v>
      </c>
      <c r="B68" s="11">
        <f>5-1-2</f>
        <v>2</v>
      </c>
    </row>
    <row r="69" spans="1:6" ht="16">
      <c r="A69" s="11" t="s">
        <v>169</v>
      </c>
      <c r="B69" s="11">
        <f>D62</f>
        <v>17.233711546593224</v>
      </c>
    </row>
    <row r="70" spans="1:6" ht="16">
      <c r="A70" s="11" t="s">
        <v>138</v>
      </c>
      <c r="B70" s="11">
        <f>CHIDIST(D62,5-1-2)</f>
        <v>1.8102855561804614E-4</v>
      </c>
    </row>
    <row r="71" spans="1:6" ht="16">
      <c r="A71" s="11" t="s">
        <v>139</v>
      </c>
      <c r="B71" s="11" t="str">
        <f>IF(B70&lt;0.05,"Отвергаем H₀","Не отвергаем H₀")&amp;" при α = 0.05"</f>
        <v>Отвергаем H₀ при α = 0.05</v>
      </c>
    </row>
    <row r="72" spans="1:6" ht="80">
      <c r="A72" s="11" t="s">
        <v>140</v>
      </c>
      <c r="B72" s="11" t="s">
        <v>170</v>
      </c>
    </row>
    <row r="73" spans="1:6">
      <c r="C73" s="13">
        <f>CHIINV(0.05,5-1-2)</f>
        <v>5.9914645471079817</v>
      </c>
      <c r="D73" t="s">
        <v>171</v>
      </c>
    </row>
    <row r="74" spans="1:6">
      <c r="A74" s="25" t="str">
        <f>"График плотности χ²(k). χ²_набл = "&amp;TEXT(D62,"0.000")&amp;", p = "&amp;TEXT(B70,"0.0000")&amp;". Правосторонняя критическая область: χ² &gt; "&amp;TEXT(C73,"0.000")</f>
        <v>График плотности χ²(k). χ²_набл = 17.234, p = 0.0002. Правосторонняя критическая область: χ² &gt; 5.991</v>
      </c>
      <c r="B74" s="22"/>
      <c r="C74" s="22"/>
      <c r="D74" s="22"/>
      <c r="E74" s="22"/>
      <c r="F74" s="22"/>
    </row>
  </sheetData>
  <mergeCells count="11">
    <mergeCell ref="A55:F55"/>
    <mergeCell ref="A74:F74"/>
    <mergeCell ref="A16:F16"/>
    <mergeCell ref="A2:F2"/>
    <mergeCell ref="A36:F36"/>
    <mergeCell ref="A3:F3"/>
    <mergeCell ref="A51:F51"/>
    <mergeCell ref="A54:F54"/>
    <mergeCell ref="A1:F1"/>
    <mergeCell ref="A35:F35"/>
    <mergeCell ref="A37:F37"/>
  </mergeCells>
  <pageMargins left="0.75" right="0.75" top="1" bottom="1" header="0.5" footer="0.5"/>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63"/>
  <sheetViews>
    <sheetView workbookViewId="0"/>
  </sheetViews>
  <sheetFormatPr baseColWidth="10" defaultColWidth="8.83203125" defaultRowHeight="15"/>
  <cols>
    <col min="1" max="1" width="22" customWidth="1"/>
    <col min="2" max="15" width="12" customWidth="1"/>
  </cols>
  <sheetData>
    <row r="1" spans="1:15" ht="16">
      <c r="A1" s="26" t="s">
        <v>172</v>
      </c>
      <c r="B1" s="22"/>
      <c r="C1" s="22"/>
      <c r="D1" s="22"/>
      <c r="E1" s="22"/>
      <c r="F1" s="22"/>
      <c r="G1" s="22"/>
      <c r="H1" s="22"/>
    </row>
    <row r="3" spans="1:15" ht="80">
      <c r="A3" s="18" t="s">
        <v>173</v>
      </c>
      <c r="B3" s="19" t="s">
        <v>174</v>
      </c>
      <c r="C3" s="19" t="s">
        <v>175</v>
      </c>
      <c r="E3" s="18" t="s">
        <v>176</v>
      </c>
      <c r="F3" s="19" t="s">
        <v>177</v>
      </c>
      <c r="G3" s="19" t="s">
        <v>178</v>
      </c>
      <c r="I3" s="18" t="s">
        <v>179</v>
      </c>
      <c r="J3" s="19" t="s">
        <v>180</v>
      </c>
      <c r="K3" s="19" t="s">
        <v>181</v>
      </c>
      <c r="M3" s="18" t="s">
        <v>182</v>
      </c>
      <c r="N3" s="19" t="s">
        <v>183</v>
      </c>
      <c r="O3" s="19" t="s">
        <v>184</v>
      </c>
    </row>
    <row r="4" spans="1:15" ht="16">
      <c r="B4" s="10">
        <f>MAX(0,xbar-4*s_std)+0*((xbar+4*s_std-MAX(0,xbar-4*s_std))/59)</f>
        <v>0</v>
      </c>
      <c r="C4" s="20">
        <f t="shared" ref="C4:C35" si="0">NORMDIST(B4,xbar,s_std,FALSE)</f>
        <v>0.13479961852274139</v>
      </c>
      <c r="F4" s="10">
        <f>-4+0*(8/59)</f>
        <v>-4</v>
      </c>
      <c r="G4" s="20" t="e">
        <f t="shared" ref="G4:G35" ca="1" si="1">_xludf.GAMMA((n_val-1+1)/2)/(SQRT((n_val-1)*PI())*_xludf.GAMMA((n_val-1)/2))*(1+F4^2/(n_val-1))^(-(n_val-1+1)/2)</f>
        <v>#NAME?</v>
      </c>
      <c r="J4" s="10">
        <f>-4+0*(8/59)</f>
        <v>-4</v>
      </c>
      <c r="K4" s="20">
        <f t="shared" ref="K4:K35" si="2">NORMDIST(J4,0,1,FALSE)</f>
        <v>1.3383022576488537E-4</v>
      </c>
      <c r="N4" s="10">
        <f>0*(15/59)</f>
        <v>0</v>
      </c>
      <c r="O4" s="20">
        <f t="shared" ref="O4:O35" si="3">EXP(-N4/2)/2</f>
        <v>0.5</v>
      </c>
    </row>
    <row r="5" spans="1:15" ht="16">
      <c r="B5" s="10">
        <f>MAX(0,xbar-4*s_std)+1*((xbar+4*s_std-MAX(0,xbar-4*s_std))/59)</f>
        <v>0.15269630972271256</v>
      </c>
      <c r="C5" s="20">
        <f t="shared" si="0"/>
        <v>0.1461262423655604</v>
      </c>
      <c r="F5" s="10">
        <f>-4+1*(8/59)</f>
        <v>-3.8644067796610169</v>
      </c>
      <c r="G5" s="20" t="e">
        <f t="shared" ca="1" si="1"/>
        <v>#NAME?</v>
      </c>
      <c r="J5" s="10">
        <f>-4+1*(8/59)</f>
        <v>-3.8644067796610169</v>
      </c>
      <c r="K5" s="20">
        <f t="shared" si="2"/>
        <v>2.2809270459460824E-4</v>
      </c>
      <c r="N5" s="10">
        <f>1*(15/59)</f>
        <v>0.25423728813559321</v>
      </c>
      <c r="O5" s="20">
        <f t="shared" si="3"/>
        <v>0.44031459248506782</v>
      </c>
    </row>
    <row r="6" spans="1:15" ht="16">
      <c r="B6" s="10">
        <f>MAX(0,xbar-4*s_std)+2*((xbar+4*s_std-MAX(0,xbar-4*s_std))/59)</f>
        <v>0.30539261944542512</v>
      </c>
      <c r="C6" s="20">
        <f t="shared" si="0"/>
        <v>0.15727316476205858</v>
      </c>
      <c r="F6" s="10">
        <f>-4+2*(8/59)</f>
        <v>-3.7288135593220337</v>
      </c>
      <c r="G6" s="20" t="e">
        <f t="shared" ca="1" si="1"/>
        <v>#NAME?</v>
      </c>
      <c r="J6" s="10">
        <f>-4+2*(8/59)</f>
        <v>-3.7288135593220337</v>
      </c>
      <c r="K6" s="20">
        <f t="shared" si="2"/>
        <v>3.8166632978775636E-4</v>
      </c>
      <c r="N6" s="10">
        <f>2*(15/59)</f>
        <v>0.50847457627118642</v>
      </c>
      <c r="O6" s="20">
        <f t="shared" si="3"/>
        <v>0.38775388071058275</v>
      </c>
    </row>
    <row r="7" spans="1:15" ht="16">
      <c r="B7" s="10">
        <f>MAX(0,xbar-4*s_std)+3*((xbar+4*s_std-MAX(0,xbar-4*s_std))/59)</f>
        <v>0.4580889291681377</v>
      </c>
      <c r="C7" s="20">
        <f t="shared" si="0"/>
        <v>0.16806136696776885</v>
      </c>
      <c r="F7" s="10">
        <f>-4+3*(8/59)</f>
        <v>-3.593220338983051</v>
      </c>
      <c r="G7" s="20" t="e">
        <f t="shared" ca="1" si="1"/>
        <v>#NAME?</v>
      </c>
      <c r="J7" s="10">
        <f>-4+3*(8/59)</f>
        <v>-3.593220338983051</v>
      </c>
      <c r="K7" s="20">
        <f t="shared" si="2"/>
        <v>6.2700581976949646E-4</v>
      </c>
      <c r="N7" s="10">
        <f>3*(15/59)</f>
        <v>0.76271186440677963</v>
      </c>
      <c r="O7" s="20">
        <f t="shared" si="3"/>
        <v>0.3414673839391677</v>
      </c>
    </row>
    <row r="8" spans="1:15" ht="16">
      <c r="B8" s="10">
        <f>MAX(0,xbar-4*s_std)+4*((xbar+4*s_std-MAX(0,xbar-4*s_std))/59)</f>
        <v>0.61078523889085024</v>
      </c>
      <c r="C8" s="20">
        <f t="shared" si="0"/>
        <v>0.1783068440957119</v>
      </c>
      <c r="F8" s="10">
        <f>-4+4*(8/59)</f>
        <v>-3.4576271186440679</v>
      </c>
      <c r="G8" s="20" t="e">
        <f t="shared" ca="1" si="1"/>
        <v>#NAME?</v>
      </c>
      <c r="J8" s="10">
        <f>-4+4*(8/59)</f>
        <v>-3.4576271186440679</v>
      </c>
      <c r="K8" s="20">
        <f t="shared" si="2"/>
        <v>1.0112873265285273E-3</v>
      </c>
      <c r="N8" s="10">
        <f>4*(15/59)</f>
        <v>1.0169491525423728</v>
      </c>
      <c r="O8" s="20">
        <f t="shared" si="3"/>
        <v>0.30070614401223367</v>
      </c>
    </row>
    <row r="9" spans="1:15" ht="16">
      <c r="B9" s="10">
        <f>MAX(0,xbar-4*s_std)+5*((xbar+4*s_std-MAX(0,xbar-4*s_std))/59)</f>
        <v>0.76348154861356277</v>
      </c>
      <c r="C9" s="20">
        <f t="shared" si="0"/>
        <v>0.18782568923929405</v>
      </c>
      <c r="F9" s="10">
        <f>-4+5*(8/59)</f>
        <v>-3.3220338983050848</v>
      </c>
      <c r="G9" s="20" t="e">
        <f t="shared" ca="1" si="1"/>
        <v>#NAME?</v>
      </c>
      <c r="J9" s="10">
        <f>-4+5*(8/59)</f>
        <v>-3.3220338983050848</v>
      </c>
      <c r="K9" s="20">
        <f t="shared" si="2"/>
        <v>1.6013741990548226E-3</v>
      </c>
      <c r="N9" s="10">
        <f>5*(15/59)</f>
        <v>1.271186440677966</v>
      </c>
      <c r="O9" s="20">
        <f t="shared" si="3"/>
        <v>0.26481060651700555</v>
      </c>
    </row>
    <row r="10" spans="1:15" ht="16">
      <c r="B10" s="10">
        <f>MAX(0,xbar-4*s_std)+6*((xbar+4*s_std-MAX(0,xbar-4*s_std))/59)</f>
        <v>0.91617785833627541</v>
      </c>
      <c r="C10" s="20">
        <f t="shared" si="0"/>
        <v>0.19643950229125701</v>
      </c>
      <c r="F10" s="10">
        <f>-4+6*(8/59)</f>
        <v>-3.1864406779661016</v>
      </c>
      <c r="G10" s="20" t="e">
        <f t="shared" ca="1" si="1"/>
        <v>#NAME?</v>
      </c>
      <c r="J10" s="10">
        <f>-4+6*(8/59)</f>
        <v>-3.1864406779661016</v>
      </c>
      <c r="K10" s="20">
        <f t="shared" si="2"/>
        <v>2.4895815612865266E-3</v>
      </c>
      <c r="N10" s="10">
        <f>6*(15/59)</f>
        <v>1.5254237288135593</v>
      </c>
      <c r="O10" s="20">
        <f t="shared" si="3"/>
        <v>0.23319994858851792</v>
      </c>
    </row>
    <row r="11" spans="1:15" ht="16">
      <c r="B11" s="10">
        <f>MAX(0,xbar-4*s_std)+7*((xbar+4*s_std-MAX(0,xbar-4*s_std))/59)</f>
        <v>1.0688741680589879</v>
      </c>
      <c r="C11" s="20">
        <f t="shared" si="0"/>
        <v>0.2039809054029636</v>
      </c>
      <c r="F11" s="10">
        <f>-4+7*(8/59)</f>
        <v>-3.0508474576271185</v>
      </c>
      <c r="G11" s="20" t="e">
        <f t="shared" ca="1" si="1"/>
        <v>#NAME?</v>
      </c>
      <c r="J11" s="10">
        <f>-4+7*(8/59)</f>
        <v>-3.0508474576271185</v>
      </c>
      <c r="K11" s="20">
        <f t="shared" si="2"/>
        <v>3.7999261826397348E-3</v>
      </c>
      <c r="N11" s="10">
        <f>7*(15/59)</f>
        <v>1.7796610169491525</v>
      </c>
      <c r="O11" s="20">
        <f t="shared" si="3"/>
        <v>0.20536268066058408</v>
      </c>
    </row>
    <row r="12" spans="1:15" ht="16">
      <c r="B12" s="10">
        <f>MAX(0,xbar-4*s_std)+8*((xbar+4*s_std-MAX(0,xbar-4*s_std))/59)</f>
        <v>1.2215704777817005</v>
      </c>
      <c r="C12" s="20">
        <f t="shared" si="0"/>
        <v>0.21029892916328763</v>
      </c>
      <c r="F12" s="10">
        <f>-4+8*(8/59)</f>
        <v>-2.9152542372881358</v>
      </c>
      <c r="G12" s="20" t="e">
        <f t="shared" ca="1" si="1"/>
        <v>#NAME?</v>
      </c>
      <c r="J12" s="10">
        <f>-4+8*(8/59)</f>
        <v>-2.9152542372881358</v>
      </c>
      <c r="K12" s="20">
        <f t="shared" si="2"/>
        <v>5.6942854069931019E-3</v>
      </c>
      <c r="N12" s="10">
        <f>8*(15/59)</f>
        <v>2.0338983050847457</v>
      </c>
      <c r="O12" s="20">
        <f t="shared" si="3"/>
        <v>0.1808483700934124</v>
      </c>
    </row>
    <row r="13" spans="1:15" ht="16">
      <c r="B13" s="10">
        <f>MAX(0,xbar-4*s_std)+9*((xbar+4*s_std-MAX(0,xbar-4*s_std))/59)</f>
        <v>1.374266787504413</v>
      </c>
      <c r="C13" s="20">
        <f t="shared" si="0"/>
        <v>0.21526402850783291</v>
      </c>
      <c r="F13" s="10">
        <f>-4+9*(8/59)</f>
        <v>-2.7796610169491522</v>
      </c>
      <c r="G13" s="20" t="e">
        <f t="shared" ca="1" si="1"/>
        <v>#NAME?</v>
      </c>
      <c r="J13" s="10">
        <f>-4+9*(8/59)</f>
        <v>-2.7796610169491522</v>
      </c>
      <c r="K13" s="20">
        <f t="shared" si="2"/>
        <v>8.3775797589945456E-3</v>
      </c>
      <c r="N13" s="10">
        <f>9*(15/59)</f>
        <v>2.2881355932203391</v>
      </c>
      <c r="O13" s="20">
        <f t="shared" si="3"/>
        <v>0.1592603527585392</v>
      </c>
    </row>
    <row r="14" spans="1:15" ht="16">
      <c r="B14" s="10">
        <f>MAX(0,xbar-4*s_std)+10*((xbar+4*s_std-MAX(0,xbar-4*s_std))/59)</f>
        <v>1.5269630972271255</v>
      </c>
      <c r="C14" s="20">
        <f t="shared" si="0"/>
        <v>0.2187724960597775</v>
      </c>
      <c r="F14" s="10">
        <f>-4+10*(8/59)</f>
        <v>-2.6440677966101696</v>
      </c>
      <c r="G14" s="20" t="e">
        <f t="shared" ca="1" si="1"/>
        <v>#NAME?</v>
      </c>
      <c r="J14" s="10">
        <f>-4+10*(8/59)</f>
        <v>-2.6440677966101696</v>
      </c>
      <c r="K14" s="20">
        <f t="shared" si="2"/>
        <v>1.2100774868145127E-2</v>
      </c>
      <c r="N14" s="10">
        <f>10*(15/59)</f>
        <v>2.5423728813559321</v>
      </c>
      <c r="O14" s="20">
        <f t="shared" si="3"/>
        <v>0.14024931464780871</v>
      </c>
    </row>
    <row r="15" spans="1:15" ht="16">
      <c r="B15" s="10">
        <f>MAX(0,xbar-4*s_std)+11*((xbar+4*s_std-MAX(0,xbar-4*s_std))/59)</f>
        <v>1.6796594069498381</v>
      </c>
      <c r="C15" s="20">
        <f t="shared" si="0"/>
        <v>0.22075006306378581</v>
      </c>
      <c r="F15" s="10">
        <f>-4+11*(8/59)</f>
        <v>-2.5084745762711864</v>
      </c>
      <c r="G15" s="20" t="e">
        <f t="shared" ca="1" si="1"/>
        <v>#NAME?</v>
      </c>
      <c r="J15" s="10">
        <f>-4+11*(8/59)</f>
        <v>-2.5084745762711864</v>
      </c>
      <c r="K15" s="20">
        <f t="shared" si="2"/>
        <v>1.7160228260718346E-2</v>
      </c>
      <c r="N15" s="10">
        <f>11*(15/59)</f>
        <v>2.7966101694915251</v>
      </c>
      <c r="O15" s="20">
        <f t="shared" si="3"/>
        <v>0.1235076396509199</v>
      </c>
    </row>
    <row r="16" spans="1:15" ht="16">
      <c r="B16" s="10">
        <f>MAX(0,xbar-4*s_std)+12*((xbar+4*s_std-MAX(0,xbar-4*s_std))/59)</f>
        <v>1.8323557166725508</v>
      </c>
      <c r="C16" s="20">
        <f t="shared" si="0"/>
        <v>0.22115451332174499</v>
      </c>
      <c r="F16" s="10">
        <f>-4+12*(8/59)</f>
        <v>-2.3728813559322033</v>
      </c>
      <c r="G16" s="20" t="e">
        <f t="shared" ca="1" si="1"/>
        <v>#NAME?</v>
      </c>
      <c r="J16" s="10">
        <f>-4+12*(8/59)</f>
        <v>-2.3728813559322033</v>
      </c>
      <c r="K16" s="20">
        <f t="shared" si="2"/>
        <v>2.38917636195051E-2</v>
      </c>
      <c r="N16" s="10">
        <f>12*(15/59)</f>
        <v>3.0508474576271185</v>
      </c>
      <c r="O16" s="20">
        <f t="shared" si="3"/>
        <v>0.1087644320433748</v>
      </c>
    </row>
    <row r="17" spans="2:15" ht="16">
      <c r="B17" s="10">
        <f>MAX(0,xbar-4*s_std)+13*((xbar+4*s_std-MAX(0,xbar-4*s_std))/59)</f>
        <v>1.9850520263952633</v>
      </c>
      <c r="C17" s="20">
        <f t="shared" si="0"/>
        <v>0.21997718164181376</v>
      </c>
      <c r="F17" s="10">
        <f>-4+13*(8/59)</f>
        <v>-2.2372881355932206</v>
      </c>
      <c r="G17" s="20" t="e">
        <f t="shared" ca="1" si="1"/>
        <v>#NAME?</v>
      </c>
      <c r="J17" s="10">
        <f>-4+13*(8/59)</f>
        <v>-2.2372881355932206</v>
      </c>
      <c r="K17" s="20">
        <f t="shared" si="2"/>
        <v>3.2657928030477248E-2</v>
      </c>
      <c r="N17" s="10">
        <f>13*(15/59)</f>
        <v>3.3050847457627119</v>
      </c>
      <c r="O17" s="20">
        <f t="shared" si="3"/>
        <v>9.578113314409685E-2</v>
      </c>
    </row>
    <row r="18" spans="2:15" ht="16">
      <c r="B18" s="10">
        <f>MAX(0,xbar-4*s_std)+14*((xbar+4*s_std-MAX(0,xbar-4*s_std))/59)</f>
        <v>2.1377483361179759</v>
      </c>
      <c r="C18" s="20">
        <f t="shared" si="0"/>
        <v>0.21724326251588125</v>
      </c>
      <c r="F18" s="10">
        <f>-4+14*(8/59)</f>
        <v>-2.101694915254237</v>
      </c>
      <c r="G18" s="20" t="e">
        <f t="shared" ca="1" si="1"/>
        <v>#NAME?</v>
      </c>
      <c r="J18" s="10">
        <f>-4+14*(8/59)</f>
        <v>-2.101694915254237</v>
      </c>
      <c r="K18" s="20">
        <f t="shared" si="2"/>
        <v>4.382725952481286E-2</v>
      </c>
      <c r="N18" s="10">
        <f>14*(15/59)</f>
        <v>3.5593220338983049</v>
      </c>
      <c r="O18" s="20">
        <f t="shared" si="3"/>
        <v>8.4347661216202061E-2</v>
      </c>
    </row>
    <row r="19" spans="2:15" ht="16">
      <c r="B19" s="10">
        <f>MAX(0,xbar-4*s_std)+15*((xbar+4*s_std-MAX(0,xbar-4*s_std))/59)</f>
        <v>2.2904446458406884</v>
      </c>
      <c r="C19" s="20">
        <f t="shared" si="0"/>
        <v>0.21301091366774025</v>
      </c>
      <c r="F19" s="10">
        <f>-4+15*(8/59)</f>
        <v>-1.9661016949152543</v>
      </c>
      <c r="G19" s="20" t="e">
        <f t="shared" ca="1" si="1"/>
        <v>#NAME?</v>
      </c>
      <c r="J19" s="10">
        <f>-4+15*(8/59)</f>
        <v>-1.9661016949152543</v>
      </c>
      <c r="K19" s="20">
        <f t="shared" si="2"/>
        <v>5.7745117963690841E-2</v>
      </c>
      <c r="N19" s="10">
        <f>15*(15/59)</f>
        <v>3.8135593220338979</v>
      </c>
      <c r="O19" s="20">
        <f t="shared" si="3"/>
        <v>7.4279012150961152E-2</v>
      </c>
    </row>
    <row r="20" spans="2:15" ht="16">
      <c r="B20" s="10">
        <f>MAX(0,xbar-4*s_std)+16*((xbar+4*s_std-MAX(0,xbar-4*s_std))/59)</f>
        <v>2.4431409555634009</v>
      </c>
      <c r="C20" s="20">
        <f t="shared" si="0"/>
        <v>0.2073691990215577</v>
      </c>
      <c r="F20" s="10">
        <f>-4+16*(8/59)</f>
        <v>-1.8305084745762712</v>
      </c>
      <c r="G20" s="20" t="e">
        <f t="shared" ca="1" si="1"/>
        <v>#NAME?</v>
      </c>
      <c r="J20" s="10">
        <f>-4+16*(8/59)</f>
        <v>-1.8305084745762712</v>
      </c>
      <c r="K20" s="20">
        <f t="shared" si="2"/>
        <v>7.4696714459307978E-2</v>
      </c>
      <c r="N20" s="10">
        <f>16*(15/59)</f>
        <v>4.0677966101694913</v>
      </c>
      <c r="O20" s="20">
        <f t="shared" si="3"/>
        <v>6.5412265930887725E-2</v>
      </c>
    </row>
    <row r="21" spans="2:15" ht="16">
      <c r="B21" s="10">
        <f>MAX(0,xbar-4*s_std)+17*((xbar+4*s_std-MAX(0,xbar-4*s_std))/59)</f>
        <v>2.5958372652861135</v>
      </c>
      <c r="C21" s="20">
        <f t="shared" si="0"/>
        <v>0.20043497270780095</v>
      </c>
      <c r="F21" s="10">
        <f>-4+17*(8/59)</f>
        <v>-1.6949152542372881</v>
      </c>
      <c r="G21" s="20" t="e">
        <f t="shared" ca="1" si="1"/>
        <v>#NAME?</v>
      </c>
      <c r="J21" s="10">
        <f>-4+17*(8/59)</f>
        <v>-1.6949152542372881</v>
      </c>
      <c r="K21" s="20">
        <f t="shared" si="2"/>
        <v>9.4864341443597205E-2</v>
      </c>
      <c r="N21" s="10">
        <f>17*(15/59)</f>
        <v>4.3220338983050848</v>
      </c>
      <c r="O21" s="20">
        <f t="shared" si="3"/>
        <v>5.7603950433767419E-2</v>
      </c>
    </row>
    <row r="22" spans="2:15" ht="16">
      <c r="B22" s="10">
        <f>MAX(0,xbar-4*s_std)+18*((xbar+4*s_std-MAX(0,xbar-4*s_std))/59)</f>
        <v>2.748533575008826</v>
      </c>
      <c r="C22" s="20">
        <f t="shared" si="0"/>
        <v>0.19234885635257101</v>
      </c>
      <c r="F22" s="10">
        <f>-4+18*(8/59)</f>
        <v>-1.5593220338983049</v>
      </c>
      <c r="G22" s="20" t="e">
        <f t="shared" ca="1" si="1"/>
        <v>#NAME?</v>
      </c>
      <c r="J22" s="10">
        <f>-4+18*(8/59)</f>
        <v>-1.5593220338983049</v>
      </c>
      <c r="K22" s="20">
        <f t="shared" si="2"/>
        <v>0.11828230034278668</v>
      </c>
      <c r="N22" s="10">
        <f>18*(15/59)</f>
        <v>4.5762711864406782</v>
      </c>
      <c r="O22" s="20">
        <f t="shared" si="3"/>
        <v>5.0727719921548696E-2</v>
      </c>
    </row>
    <row r="23" spans="2:15" ht="16">
      <c r="B23" s="10">
        <f>MAX(0,xbar-4*s_std)+19*((xbar+4*s_std-MAX(0,xbar-4*s_std))/59)</f>
        <v>2.9012298847315385</v>
      </c>
      <c r="C23" s="20">
        <f t="shared" si="0"/>
        <v>0.18327050298469566</v>
      </c>
      <c r="F23" s="10">
        <f>-4+19*(8/59)</f>
        <v>-1.4237288135593222</v>
      </c>
      <c r="G23" s="20" t="e">
        <f t="shared" ca="1" si="1"/>
        <v>#NAME?</v>
      </c>
      <c r="J23" s="10">
        <f>-4+19*(8/59)</f>
        <v>-1.4237288135593222</v>
      </c>
      <c r="K23" s="20">
        <f t="shared" si="2"/>
        <v>0.14479441061738854</v>
      </c>
      <c r="N23" s="10">
        <f>19*(15/59)</f>
        <v>4.8305084745762707</v>
      </c>
      <c r="O23" s="20">
        <f t="shared" si="3"/>
        <v>4.4672310649906753E-2</v>
      </c>
    </row>
    <row r="24" spans="2:15" ht="16">
      <c r="B24" s="10">
        <f>MAX(0,xbar-4*s_std)+20*((xbar+4*s_std-MAX(0,xbar-4*s_std))/59)</f>
        <v>3.0539261944542511</v>
      </c>
      <c r="C24" s="20">
        <f t="shared" si="0"/>
        <v>0.17337337007022513</v>
      </c>
      <c r="F24" s="10">
        <f>-4+20*(8/59)</f>
        <v>-1.2881355932203391</v>
      </c>
      <c r="G24" s="20" t="e">
        <f t="shared" ca="1" si="1"/>
        <v>#NAME?</v>
      </c>
      <c r="J24" s="10">
        <f>-4+20*(8/59)</f>
        <v>-1.2881355932203391</v>
      </c>
      <c r="K24" s="20">
        <f t="shared" si="2"/>
        <v>0.17401997518110032</v>
      </c>
      <c r="N24" s="10">
        <f>20*(15/59)</f>
        <v>5.0847457627118642</v>
      </c>
      <c r="O24" s="20">
        <f t="shared" si="3"/>
        <v>3.9339740518360096E-2</v>
      </c>
    </row>
    <row r="25" spans="2:15" ht="16">
      <c r="B25" s="10">
        <f>MAX(0,xbar-4*s_std)+21*((xbar+4*s_std-MAX(0,xbar-4*s_std))/59)</f>
        <v>3.2066225041769636</v>
      </c>
      <c r="C25" s="20">
        <f t="shared" si="0"/>
        <v>0.16283923996811159</v>
      </c>
      <c r="F25" s="10">
        <f>-4+21*(8/59)</f>
        <v>-1.152542372881356</v>
      </c>
      <c r="G25" s="20" t="e">
        <f t="shared" ca="1" si="1"/>
        <v>#NAME?</v>
      </c>
      <c r="J25" s="10">
        <f>-4+21*(8/59)</f>
        <v>-1.152542372881356</v>
      </c>
      <c r="K25" s="20">
        <f t="shared" si="2"/>
        <v>0.2053343826444923</v>
      </c>
      <c r="N25" s="10">
        <f>21*(15/59)</f>
        <v>5.3389830508474576</v>
      </c>
      <c r="O25" s="20">
        <f t="shared" si="3"/>
        <v>3.4643723629620073E-2</v>
      </c>
    </row>
    <row r="26" spans="2:15" ht="16">
      <c r="B26" s="10">
        <f>MAX(0,xbar-4*s_std)+22*((xbar+4*s_std-MAX(0,xbar-4*s_std))/59)</f>
        <v>3.3593188138996761</v>
      </c>
      <c r="C26" s="20">
        <f t="shared" si="0"/>
        <v>0.15185272799707475</v>
      </c>
      <c r="F26" s="10">
        <f>-4+22*(8/59)</f>
        <v>-1.0169491525423728</v>
      </c>
      <c r="G26" s="20" t="e">
        <f t="shared" ca="1" si="1"/>
        <v>#NAME?</v>
      </c>
      <c r="J26" s="10">
        <f>-4+22*(8/59)</f>
        <v>-1.0169491525423728</v>
      </c>
      <c r="K26" s="20">
        <f t="shared" si="2"/>
        <v>0.23786991683988279</v>
      </c>
      <c r="N26" s="10">
        <f>22*(15/59)</f>
        <v>5.5932203389830502</v>
      </c>
      <c r="O26" s="20">
        <f t="shared" si="3"/>
        <v>3.0508274104282963E-2</v>
      </c>
    </row>
    <row r="27" spans="2:15" ht="16">
      <c r="B27" s="10">
        <f>MAX(0,xbar-4*s_std)+23*((xbar+4*s_std-MAX(0,xbar-4*s_std))/59)</f>
        <v>3.5120151236223887</v>
      </c>
      <c r="C27" s="20">
        <f t="shared" si="0"/>
        <v>0.14059600679843495</v>
      </c>
      <c r="F27" s="10">
        <f>-4+23*(8/59)</f>
        <v>-0.8813559322033897</v>
      </c>
      <c r="G27" s="20" t="e">
        <f t="shared" ca="1" si="1"/>
        <v>#NAME?</v>
      </c>
      <c r="J27" s="10">
        <f>-4+23*(8/59)</f>
        <v>-0.8813559322033897</v>
      </c>
      <c r="K27" s="20">
        <f t="shared" si="2"/>
        <v>0.27054071544434488</v>
      </c>
      <c r="N27" s="10">
        <f>23*(15/59)</f>
        <v>5.8474576271186436</v>
      </c>
      <c r="O27" s="20">
        <f t="shared" si="3"/>
        <v>2.68664765593002E-2</v>
      </c>
    </row>
    <row r="28" spans="2:15" ht="16">
      <c r="B28" s="10">
        <f>MAX(0,xbar-4*s_std)+24*((xbar+4*s_std-MAX(0,xbar-4*s_std))/59)</f>
        <v>3.6647114333451016</v>
      </c>
      <c r="C28" s="20">
        <f t="shared" si="0"/>
        <v>0.12924395216294751</v>
      </c>
      <c r="F28" s="10">
        <f>-4+24*(8/59)</f>
        <v>-0.74576271186440657</v>
      </c>
      <c r="G28" s="20" t="e">
        <f t="shared" ca="1" si="1"/>
        <v>#NAME?</v>
      </c>
      <c r="J28" s="10">
        <f>-4+24*(8/59)</f>
        <v>-0.74576271186440657</v>
      </c>
      <c r="K28" s="20">
        <f t="shared" si="2"/>
        <v>0.3020932469868069</v>
      </c>
      <c r="N28" s="10">
        <f>24*(15/59)</f>
        <v>6.101694915254237</v>
      </c>
      <c r="O28" s="20">
        <f t="shared" si="3"/>
        <v>2.3659403355435787E-2</v>
      </c>
    </row>
    <row r="29" spans="2:15" ht="16">
      <c r="B29" s="10">
        <f>MAX(0,xbar-4*s_std)+25*((xbar+4*s_std-MAX(0,xbar-4*s_std))/59)</f>
        <v>3.8174077430678142</v>
      </c>
      <c r="C29" s="20">
        <f t="shared" si="0"/>
        <v>0.1179598821039919</v>
      </c>
      <c r="F29" s="10">
        <f>-4+25*(8/59)</f>
        <v>-0.61016949152542388</v>
      </c>
      <c r="G29" s="20" t="e">
        <f t="shared" ca="1" si="1"/>
        <v>#NAME?</v>
      </c>
      <c r="J29" s="10">
        <f>-4+25*(8/59)</f>
        <v>-0.61016949152542388</v>
      </c>
      <c r="K29" s="20">
        <f t="shared" si="2"/>
        <v>0.33118043297472494</v>
      </c>
      <c r="N29" s="10">
        <f>25*(15/59)</f>
        <v>6.3559322033898304</v>
      </c>
      <c r="O29" s="20">
        <f t="shared" si="3"/>
        <v>2.0835161093777109E-2</v>
      </c>
    </row>
    <row r="30" spans="2:15" ht="16">
      <c r="B30" s="10">
        <f>MAX(0,xbar-4*s_std)+26*((xbar+4*s_std-MAX(0,xbar-4*s_std))/59)</f>
        <v>3.9701040527905267</v>
      </c>
      <c r="C30" s="20">
        <f t="shared" si="0"/>
        <v>0.10689202039532708</v>
      </c>
      <c r="F30" s="10">
        <f>-4+26*(8/59)</f>
        <v>-0.47457627118644075</v>
      </c>
      <c r="G30" s="20" t="e">
        <f t="shared" ca="1" si="1"/>
        <v>#NAME?</v>
      </c>
      <c r="J30" s="10">
        <f>-4+26*(8/59)</f>
        <v>-0.47457627118644075</v>
      </c>
      <c r="K30" s="20">
        <f t="shared" si="2"/>
        <v>0.35645408124298467</v>
      </c>
      <c r="N30" s="10">
        <f>26*(15/59)</f>
        <v>6.6101694915254239</v>
      </c>
      <c r="O30" s="20">
        <f t="shared" si="3"/>
        <v>1.8348050932734415E-2</v>
      </c>
    </row>
    <row r="31" spans="2:15" ht="16">
      <c r="B31" s="10">
        <f>MAX(0,xbar-4*s_std)+27*((xbar+4*s_std-MAX(0,xbar-4*s_std))/59)</f>
        <v>4.1228003625132388</v>
      </c>
      <c r="C31" s="20">
        <f t="shared" si="0"/>
        <v>9.6170771049962619E-2</v>
      </c>
      <c r="F31" s="10">
        <f>-4+27*(8/59)</f>
        <v>-0.33898305084745761</v>
      </c>
      <c r="G31" s="20" t="e">
        <f t="shared" ca="1" si="1"/>
        <v>#NAME?</v>
      </c>
      <c r="J31" s="10">
        <f>-4+27*(8/59)</f>
        <v>-0.33898305084745761</v>
      </c>
      <c r="K31" s="20">
        <f t="shared" si="2"/>
        <v>0.37666718208196492</v>
      </c>
      <c r="N31" s="10">
        <f>27*(15/59)</f>
        <v>6.8644067796610164</v>
      </c>
      <c r="O31" s="20">
        <f t="shared" si="3"/>
        <v>1.6157829138684451E-2</v>
      </c>
    </row>
    <row r="32" spans="2:15" ht="16">
      <c r="B32" s="10">
        <f>MAX(0,xbar-4*s_std)+28*((xbar+4*s_std-MAX(0,xbar-4*s_std))/59)</f>
        <v>4.2754966722359518</v>
      </c>
      <c r="C32" s="20">
        <f t="shared" si="0"/>
        <v>8.5906844361963289E-2</v>
      </c>
      <c r="F32" s="10">
        <f>-4+28*(8/59)</f>
        <v>-0.20338983050847448</v>
      </c>
      <c r="G32" s="20" t="e">
        <f t="shared" ca="1" si="1"/>
        <v>#NAME?</v>
      </c>
      <c r="J32" s="10">
        <f>-4+28*(8/59)</f>
        <v>-0.20338983050847448</v>
      </c>
      <c r="K32" s="20">
        <f t="shared" si="2"/>
        <v>0.39077542493631123</v>
      </c>
      <c r="N32" s="10">
        <f>28*(15/59)</f>
        <v>7.1186440677966099</v>
      </c>
      <c r="O32" s="20">
        <f t="shared" si="3"/>
        <v>1.4229055905286395E-2</v>
      </c>
    </row>
    <row r="33" spans="2:15" ht="16">
      <c r="B33" s="10">
        <f>MAX(0,xbar-4*s_std)+29*((xbar+4*s_std-MAX(0,xbar-4*s_std))/59)</f>
        <v>4.4281929819586638</v>
      </c>
      <c r="C33" s="20">
        <f t="shared" si="0"/>
        <v>7.6190231059229771E-2</v>
      </c>
      <c r="F33" s="10">
        <f>-4+29*(8/59)</f>
        <v>-6.7796610169491345E-2</v>
      </c>
      <c r="G33" s="20" t="e">
        <f t="shared" ca="1" si="1"/>
        <v>#NAME?</v>
      </c>
      <c r="J33" s="10">
        <f>-4+29*(8/59)</f>
        <v>-6.7796610169491345E-2</v>
      </c>
      <c r="K33" s="20">
        <f t="shared" si="2"/>
        <v>0.39802648790785983</v>
      </c>
      <c r="N33" s="10">
        <f>29*(15/59)</f>
        <v>7.3728813559322033</v>
      </c>
      <c r="O33" s="20">
        <f t="shared" si="3"/>
        <v>1.2530521904766853E-2</v>
      </c>
    </row>
    <row r="34" spans="2:15" ht="16">
      <c r="B34" s="10">
        <f>MAX(0,xbar-4*s_std)+30*((xbar+4*s_std-MAX(0,xbar-4*s_std))/59)</f>
        <v>4.5808892916813768</v>
      </c>
      <c r="C34" s="20">
        <f t="shared" si="0"/>
        <v>6.7089981344745031E-2</v>
      </c>
      <c r="F34" s="10">
        <f>-4+30*(8/59)</f>
        <v>6.7796610169491345E-2</v>
      </c>
      <c r="G34" s="20" t="e">
        <f t="shared" ca="1" si="1"/>
        <v>#NAME?</v>
      </c>
      <c r="J34" s="10">
        <f>-4+30*(8/59)</f>
        <v>6.7796610169491345E-2</v>
      </c>
      <c r="K34" s="20">
        <f t="shared" si="2"/>
        <v>0.39802648790785983</v>
      </c>
      <c r="N34" s="10">
        <f>30*(15/59)</f>
        <v>7.6271186440677958</v>
      </c>
      <c r="O34" s="20">
        <f t="shared" si="3"/>
        <v>1.1034743292245269E-2</v>
      </c>
    </row>
    <row r="35" spans="2:15" ht="16">
      <c r="B35" s="10">
        <f>MAX(0,xbar-4*s_std)+31*((xbar+4*s_std-MAX(0,xbar-4*s_std))/59)</f>
        <v>4.7335856014040889</v>
      </c>
      <c r="C35" s="20">
        <f t="shared" si="0"/>
        <v>5.865471213320754E-2</v>
      </c>
      <c r="F35" s="10">
        <f>-4+31*(8/59)</f>
        <v>0.20338983050847492</v>
      </c>
      <c r="G35" s="20" t="e">
        <f t="shared" ca="1" si="1"/>
        <v>#NAME?</v>
      </c>
      <c r="J35" s="10">
        <f>-4+31*(8/59)</f>
        <v>0.20338983050847492</v>
      </c>
      <c r="K35" s="20">
        <f t="shared" si="2"/>
        <v>0.39077542493631118</v>
      </c>
      <c r="N35" s="10">
        <f>31*(15/59)</f>
        <v>7.8813559322033893</v>
      </c>
      <c r="O35" s="20">
        <f t="shared" si="3"/>
        <v>9.7175169918046235E-3</v>
      </c>
    </row>
    <row r="36" spans="2:15" ht="16">
      <c r="B36" s="10">
        <f>MAX(0,xbar-4*s_std)+32*((xbar+4*s_std-MAX(0,xbar-4*s_std))/59)</f>
        <v>4.8862819111268019</v>
      </c>
      <c r="C36" s="20">
        <f t="shared" ref="C36:C67" si="4">NORMDIST(B36,xbar,s_std,FALSE)</f>
        <v>5.0913739993631198E-2</v>
      </c>
      <c r="F36" s="10">
        <f>-4+32*(8/59)</f>
        <v>0.33898305084745761</v>
      </c>
      <c r="G36" s="20" t="e">
        <f t="shared" ref="G36:G67" ca="1" si="5">_xludf.GAMMA((n_val-1+1)/2)/(SQRT((n_val-1)*PI())*_xludf.GAMMA((n_val-1)/2))*(1+F36^2/(n_val-1))^(-(n_val-1+1)/2)</f>
        <v>#NAME?</v>
      </c>
      <c r="J36" s="10">
        <f>-4+32*(8/59)</f>
        <v>0.33898305084745761</v>
      </c>
      <c r="K36" s="20">
        <f t="shared" ref="K36:K67" si="6">NORMDIST(J36,0,1,FALSE)</f>
        <v>0.37666718208196492</v>
      </c>
      <c r="N36" s="10">
        <f>32*(15/59)</f>
        <v>8.1355932203389827</v>
      </c>
      <c r="O36" s="20">
        <f t="shared" ref="O36:O67" si="7">EXP(-N36/2)/2</f>
        <v>8.5575290684263491E-3</v>
      </c>
    </row>
    <row r="37" spans="2:15" ht="16">
      <c r="B37" s="10">
        <f>MAX(0,xbar-4*s_std)+33*((xbar+4*s_std-MAX(0,xbar-4*s_std))/59)</f>
        <v>5.0389782208495149</v>
      </c>
      <c r="C37" s="20">
        <f t="shared" si="4"/>
        <v>4.3878719900889054E-2</v>
      </c>
      <c r="F37" s="10">
        <f>-4+33*(8/59)</f>
        <v>0.4745762711864403</v>
      </c>
      <c r="G37" s="20" t="e">
        <f t="shared" ca="1" si="5"/>
        <v>#NAME?</v>
      </c>
      <c r="J37" s="10">
        <f>-4+33*(8/59)</f>
        <v>0.4745762711864403</v>
      </c>
      <c r="K37" s="20">
        <f t="shared" si="6"/>
        <v>0.35645408124298472</v>
      </c>
      <c r="N37" s="10">
        <f>33*(15/59)</f>
        <v>8.3898305084745761</v>
      </c>
      <c r="O37" s="20">
        <f t="shared" si="7"/>
        <v>7.536009848886539E-3</v>
      </c>
    </row>
    <row r="38" spans="2:15" ht="16">
      <c r="B38" s="10">
        <f>MAX(0,xbar-4*s_std)+34*((xbar+4*s_std-MAX(0,xbar-4*s_std))/59)</f>
        <v>5.1916745305722269</v>
      </c>
      <c r="C38" s="20">
        <f t="shared" si="4"/>
        <v>3.7545660954641215E-2</v>
      </c>
      <c r="F38" s="10">
        <f>-4+34*(8/59)</f>
        <v>0.61016949152542388</v>
      </c>
      <c r="G38" s="20" t="e">
        <f t="shared" ca="1" si="5"/>
        <v>#NAME?</v>
      </c>
      <c r="J38" s="10">
        <f>-4+34*(8/59)</f>
        <v>0.61016949152542388</v>
      </c>
      <c r="K38" s="20">
        <f t="shared" si="6"/>
        <v>0.33118043297472494</v>
      </c>
      <c r="N38" s="10">
        <f>34*(15/59)</f>
        <v>8.6440677966101696</v>
      </c>
      <c r="O38" s="20">
        <f t="shared" si="7"/>
        <v>6.6364302111518681E-3</v>
      </c>
    </row>
    <row r="39" spans="2:15" ht="16">
      <c r="B39" s="10">
        <f>MAX(0,xbar-4*s_std)+35*((xbar+4*s_std-MAX(0,xbar-4*s_std))/59)</f>
        <v>5.3443708402949399</v>
      </c>
      <c r="C39" s="20">
        <f t="shared" si="4"/>
        <v>3.1897189245339755E-2</v>
      </c>
      <c r="F39" s="10">
        <f>-4+35*(8/59)</f>
        <v>0.74576271186440657</v>
      </c>
      <c r="G39" s="20" t="e">
        <f t="shared" ca="1" si="5"/>
        <v>#NAME?</v>
      </c>
      <c r="J39" s="10">
        <f>-4+35*(8/59)</f>
        <v>0.74576271186440657</v>
      </c>
      <c r="K39" s="20">
        <f t="shared" si="6"/>
        <v>0.3020932469868069</v>
      </c>
      <c r="N39" s="10">
        <f>35*(15/59)</f>
        <v>8.898305084745763</v>
      </c>
      <c r="O39" s="20">
        <f t="shared" si="7"/>
        <v>5.8442341279578537E-3</v>
      </c>
    </row>
    <row r="40" spans="2:15" ht="16">
      <c r="B40" s="10">
        <f>MAX(0,xbar-4*s_std)+36*((xbar+4*s_std-MAX(0,xbar-4*s_std))/59)</f>
        <v>5.497067150017652</v>
      </c>
      <c r="C40" s="20">
        <f t="shared" si="4"/>
        <v>2.6904934071056034E-2</v>
      </c>
      <c r="F40" s="10">
        <f>-4+36*(8/59)</f>
        <v>0.88135593220339015</v>
      </c>
      <c r="G40" s="20" t="e">
        <f t="shared" ca="1" si="5"/>
        <v>#NAME?</v>
      </c>
      <c r="J40" s="10">
        <f>-4+36*(8/59)</f>
        <v>0.88135593220339015</v>
      </c>
      <c r="K40" s="20">
        <f t="shared" si="6"/>
        <v>0.27054071544434477</v>
      </c>
      <c r="N40" s="10">
        <f>36*(15/59)</f>
        <v>9.1525423728813564</v>
      </c>
      <c r="O40" s="20">
        <f t="shared" si="7"/>
        <v>5.1466031368781759E-3</v>
      </c>
    </row>
    <row r="41" spans="2:15" ht="16">
      <c r="B41" s="10">
        <f>MAX(0,xbar-4*s_std)+37*((xbar+4*s_std-MAX(0,xbar-4*s_std))/59)</f>
        <v>5.649763459740365</v>
      </c>
      <c r="C41" s="20">
        <f t="shared" si="4"/>
        <v>2.2531925436673324E-2</v>
      </c>
      <c r="F41" s="10">
        <f>-4+37*(8/59)</f>
        <v>1.0169491525423728</v>
      </c>
      <c r="G41" s="20" t="e">
        <f t="shared" ca="1" si="5"/>
        <v>#NAME?</v>
      </c>
      <c r="J41" s="10">
        <f>-4+37*(8/59)</f>
        <v>1.0169491525423728</v>
      </c>
      <c r="K41" s="20">
        <f t="shared" si="6"/>
        <v>0.23786991683988279</v>
      </c>
      <c r="N41" s="10">
        <f>37*(15/59)</f>
        <v>9.4067796610169481</v>
      </c>
      <c r="O41" s="20">
        <f t="shared" si="7"/>
        <v>4.5322489257937758E-3</v>
      </c>
    </row>
    <row r="42" spans="2:15" ht="16">
      <c r="B42" s="10">
        <f>MAX(0,xbar-4*s_std)+38*((xbar+4*s_std-MAX(0,xbar-4*s_std))/59)</f>
        <v>5.8024597694630771</v>
      </c>
      <c r="C42" s="20">
        <f t="shared" si="4"/>
        <v>1.8734906702629225E-2</v>
      </c>
      <c r="F42" s="10">
        <f>-4+38*(8/59)</f>
        <v>1.1525423728813555</v>
      </c>
      <c r="G42" s="20" t="e">
        <f t="shared" ca="1" si="5"/>
        <v>#NAME?</v>
      </c>
      <c r="J42" s="10">
        <f>-4+38*(8/59)</f>
        <v>1.1525423728813555</v>
      </c>
      <c r="K42" s="20">
        <f t="shared" si="6"/>
        <v>0.20533438264449244</v>
      </c>
      <c r="N42" s="10">
        <f>38*(15/59)</f>
        <v>9.6610169491525415</v>
      </c>
      <c r="O42" s="20">
        <f t="shared" si="7"/>
        <v>3.9912306776035454E-3</v>
      </c>
    </row>
    <row r="43" spans="2:15" ht="16">
      <c r="B43" s="10">
        <f>MAX(0,xbar-4*s_std)+39*((xbar+4*s_std-MAX(0,xbar-4*s_std))/59)</f>
        <v>5.95515607918579</v>
      </c>
      <c r="C43" s="20">
        <f t="shared" si="4"/>
        <v>1.5466484836730502E-2</v>
      </c>
      <c r="F43" s="10">
        <f>-4+39*(8/59)</f>
        <v>1.2881355932203391</v>
      </c>
      <c r="G43" s="20" t="e">
        <f t="shared" ca="1" si="5"/>
        <v>#NAME?</v>
      </c>
      <c r="J43" s="10">
        <f>-4+39*(8/59)</f>
        <v>1.2881355932203391</v>
      </c>
      <c r="K43" s="20">
        <f t="shared" si="6"/>
        <v>0.17401997518110032</v>
      </c>
      <c r="N43" s="10">
        <f>39*(15/59)</f>
        <v>9.9152542372881349</v>
      </c>
      <c r="O43" s="20">
        <f t="shared" si="7"/>
        <v>3.5147942186458119E-3</v>
      </c>
    </row>
    <row r="44" spans="2:15" ht="16">
      <c r="B44" s="10">
        <f>MAX(0,xbar-4*s_std)+40*((xbar+4*s_std-MAX(0,xbar-4*s_std))/59)</f>
        <v>6.1078523889085021</v>
      </c>
      <c r="C44" s="20">
        <f t="shared" si="4"/>
        <v>1.2677060462205542E-2</v>
      </c>
      <c r="F44" s="10">
        <f>-4+40*(8/59)</f>
        <v>1.4237288135593218</v>
      </c>
      <c r="G44" s="20" t="e">
        <f t="shared" ca="1" si="5"/>
        <v>#NAME?</v>
      </c>
      <c r="J44" s="10">
        <f>-4+40*(8/59)</f>
        <v>1.4237288135593218</v>
      </c>
      <c r="K44" s="20">
        <f t="shared" si="6"/>
        <v>0.14479441061738862</v>
      </c>
      <c r="N44" s="10">
        <f>40*(15/59)</f>
        <v>10.169491525423728</v>
      </c>
      <c r="O44" s="20">
        <f t="shared" si="7"/>
        <v>3.0952303681038057E-3</v>
      </c>
    </row>
    <row r="45" spans="2:15" ht="16">
      <c r="B45" s="10">
        <f>MAX(0,xbar-4*s_std)+41*((xbar+4*s_std-MAX(0,xbar-4*s_std))/59)</f>
        <v>6.2605486986312151</v>
      </c>
      <c r="C45" s="20">
        <f t="shared" si="4"/>
        <v>1.0316499448667707E-2</v>
      </c>
      <c r="F45" s="10">
        <f>-4+41*(8/59)</f>
        <v>1.5593220338983054</v>
      </c>
      <c r="G45" s="20" t="e">
        <f t="shared" ca="1" si="5"/>
        <v>#NAME?</v>
      </c>
      <c r="J45" s="10">
        <f>-4+41*(8/59)</f>
        <v>1.5593220338983054</v>
      </c>
      <c r="K45" s="20">
        <f t="shared" si="6"/>
        <v>0.11828230034278661</v>
      </c>
      <c r="N45" s="10">
        <f>41*(15/59)</f>
        <v>10.423728813559322</v>
      </c>
      <c r="O45" s="20">
        <f t="shared" si="7"/>
        <v>2.7257501963580673E-3</v>
      </c>
    </row>
    <row r="46" spans="2:15" ht="16">
      <c r="B46" s="10">
        <f>MAX(0,xbar-4*s_std)+42*((xbar+4*s_std-MAX(0,xbar-4*s_std))/59)</f>
        <v>6.4132450083539272</v>
      </c>
      <c r="C46" s="20">
        <f t="shared" si="4"/>
        <v>8.3355260492126246E-3</v>
      </c>
      <c r="F46" s="10">
        <f>-4+42*(8/59)</f>
        <v>1.6949152542372881</v>
      </c>
      <c r="G46" s="20" t="e">
        <f t="shared" ca="1" si="5"/>
        <v>#NAME?</v>
      </c>
      <c r="J46" s="10">
        <f>-4+42*(8/59)</f>
        <v>1.6949152542372881</v>
      </c>
      <c r="K46" s="20">
        <f t="shared" si="6"/>
        <v>9.4864341443597205E-2</v>
      </c>
      <c r="N46" s="10">
        <f>42*(15/59)</f>
        <v>10.677966101694915</v>
      </c>
      <c r="O46" s="20">
        <f t="shared" si="7"/>
        <v>2.4003751738509919E-3</v>
      </c>
    </row>
    <row r="47" spans="2:15" ht="16">
      <c r="B47" s="10">
        <f>MAX(0,xbar-4*s_std)+43*((xbar+4*s_std-MAX(0,xbar-4*s_std))/59)</f>
        <v>6.5659413180766402</v>
      </c>
      <c r="C47" s="20">
        <f t="shared" si="4"/>
        <v>6.6868337056904025E-3</v>
      </c>
      <c r="F47" s="10">
        <f>-4+43*(8/59)</f>
        <v>1.8305084745762707</v>
      </c>
      <c r="G47" s="20" t="e">
        <f t="shared" ca="1" si="5"/>
        <v>#NAME?</v>
      </c>
      <c r="J47" s="10">
        <f>-4+43*(8/59)</f>
        <v>1.8305084745762707</v>
      </c>
      <c r="K47" s="20">
        <f t="shared" si="6"/>
        <v>7.4696714459308033E-2</v>
      </c>
      <c r="N47" s="10">
        <f>43*(15/59)</f>
        <v>10.932203389830509</v>
      </c>
      <c r="O47" s="20">
        <f t="shared" si="7"/>
        <v>2.1138404329709465E-3</v>
      </c>
    </row>
    <row r="48" spans="2:15" ht="16">
      <c r="B48" s="10">
        <f>MAX(0,xbar-4*s_std)+44*((xbar+4*s_std-MAX(0,xbar-4*s_std))/59)</f>
        <v>6.7186376277993523</v>
      </c>
      <c r="C48" s="20">
        <f t="shared" si="4"/>
        <v>5.3259230681948063E-3</v>
      </c>
      <c r="F48" s="10">
        <f>-4+44*(8/59)</f>
        <v>1.9661016949152543</v>
      </c>
      <c r="G48" s="20" t="e">
        <f t="shared" ca="1" si="5"/>
        <v>#NAME?</v>
      </c>
      <c r="J48" s="10">
        <f>-4+44*(8/59)</f>
        <v>1.9661016949152543</v>
      </c>
      <c r="K48" s="20">
        <f t="shared" si="6"/>
        <v>5.7745117963690841E-2</v>
      </c>
      <c r="N48" s="10">
        <f>44*(15/59)</f>
        <v>11.1864406779661</v>
      </c>
      <c r="O48" s="20">
        <f t="shared" si="7"/>
        <v>1.8615095776441249E-3</v>
      </c>
    </row>
    <row r="49" spans="2:15" ht="16">
      <c r="B49" s="10">
        <f>MAX(0,xbar-4*s_std)+45*((xbar+4*s_std-MAX(0,xbar-4*s_std))/59)</f>
        <v>6.8713339375220652</v>
      </c>
      <c r="C49" s="20">
        <f t="shared" si="4"/>
        <v>4.2116872199301943E-3</v>
      </c>
      <c r="F49" s="10">
        <f>-4+45*(8/59)</f>
        <v>2.101694915254237</v>
      </c>
      <c r="G49" s="20" t="e">
        <f t="shared" ca="1" si="5"/>
        <v>#NAME?</v>
      </c>
      <c r="J49" s="10">
        <f>-4+45*(8/59)</f>
        <v>2.101694915254237</v>
      </c>
      <c r="K49" s="20">
        <f t="shared" si="6"/>
        <v>4.382725952481286E-2</v>
      </c>
      <c r="N49" s="10">
        <f>45*(15/59)</f>
        <v>11.440677966101694</v>
      </c>
      <c r="O49" s="20">
        <f t="shared" si="7"/>
        <v>1.639299662174847E-3</v>
      </c>
    </row>
    <row r="50" spans="2:15" ht="16">
      <c r="B50" s="10">
        <f>MAX(0,xbar-4*s_std)+46*((xbar+4*s_std-MAX(0,xbar-4*s_std))/59)</f>
        <v>7.0240302472447773</v>
      </c>
      <c r="C50" s="20">
        <f t="shared" si="4"/>
        <v>3.3067715240964585E-3</v>
      </c>
      <c r="F50" s="10">
        <f>-4+46*(8/59)</f>
        <v>2.2372881355932206</v>
      </c>
      <c r="G50" s="20" t="e">
        <f t="shared" ca="1" si="5"/>
        <v>#NAME?</v>
      </c>
      <c r="J50" s="10">
        <f>-4+46*(8/59)</f>
        <v>2.2372881355932206</v>
      </c>
      <c r="K50" s="20">
        <f t="shared" si="6"/>
        <v>3.2657928030477248E-2</v>
      </c>
      <c r="N50" s="10">
        <f>46*(15/59)</f>
        <v>11.694915254237287</v>
      </c>
      <c r="O50" s="20">
        <f t="shared" si="7"/>
        <v>1.443615125422854E-3</v>
      </c>
    </row>
    <row r="51" spans="2:15">
      <c r="B51" s="10">
        <f>MAX(0,xbar-4*s_std)+47*((xbar+4*s_std-MAX(0,xbar-4*s_std))/59)</f>
        <v>7.1767265569674903</v>
      </c>
      <c r="C51" s="20">
        <f t="shared" si="4"/>
        <v>2.5777400749278441E-3</v>
      </c>
      <c r="F51" s="10">
        <f>-4+47*(8/59)</f>
        <v>2.3728813559322033</v>
      </c>
      <c r="G51" s="20" t="e">
        <f t="shared" ca="1" si="5"/>
        <v>#NAME?</v>
      </c>
      <c r="J51" s="10">
        <f>-4+47*(8/59)</f>
        <v>2.3728813559322033</v>
      </c>
      <c r="K51" s="20">
        <f t="shared" si="6"/>
        <v>2.38917636195051E-2</v>
      </c>
      <c r="N51" s="10">
        <f>47*(15/59)</f>
        <v>11.949152542372881</v>
      </c>
      <c r="O51" s="20">
        <f t="shared" si="7"/>
        <v>1.2712896113116882E-3</v>
      </c>
    </row>
    <row r="52" spans="2:15">
      <c r="B52" s="10">
        <f>MAX(0,xbar-4*s_std)+48*((xbar+4*s_std-MAX(0,xbar-4*s_std))/59)</f>
        <v>7.3294228666902033</v>
      </c>
      <c r="C52" s="20">
        <f t="shared" si="4"/>
        <v>1.9950827506069564E-3</v>
      </c>
      <c r="F52" s="10">
        <f>-4+48*(8/59)</f>
        <v>2.5084745762711869</v>
      </c>
      <c r="G52" s="20" t="e">
        <f t="shared" ca="1" si="5"/>
        <v>#NAME?</v>
      </c>
      <c r="J52" s="10">
        <f>-4+48*(8/59)</f>
        <v>2.5084745762711869</v>
      </c>
      <c r="K52" s="20">
        <f t="shared" si="6"/>
        <v>1.7160228260718332E-2</v>
      </c>
      <c r="N52" s="10">
        <f>48*(15/59)</f>
        <v>12.203389830508474</v>
      </c>
      <c r="O52" s="20">
        <f t="shared" si="7"/>
        <v>1.1195347342704124E-3</v>
      </c>
    </row>
    <row r="53" spans="2:15">
      <c r="B53" s="10">
        <f>MAX(0,xbar-4*s_std)+49*((xbar+4*s_std-MAX(0,xbar-4*s_std))/59)</f>
        <v>7.4821191764129154</v>
      </c>
      <c r="C53" s="20">
        <f t="shared" si="4"/>
        <v>1.5330967403034156E-3</v>
      </c>
      <c r="F53" s="10">
        <f>-4+49*(8/59)</f>
        <v>2.6440677966101696</v>
      </c>
      <c r="G53" s="20" t="e">
        <f t="shared" ca="1" si="5"/>
        <v>#NAME?</v>
      </c>
      <c r="J53" s="10">
        <f>-4+49*(8/59)</f>
        <v>2.6440677966101696</v>
      </c>
      <c r="K53" s="20">
        <f t="shared" si="6"/>
        <v>1.2100774868145127E-2</v>
      </c>
      <c r="N53" s="10">
        <f>49*(15/59)</f>
        <v>12.457627118644067</v>
      </c>
      <c r="O53" s="20">
        <f t="shared" si="7"/>
        <v>9.8589496058631054E-4</v>
      </c>
    </row>
    <row r="54" spans="2:15">
      <c r="B54" s="10">
        <f>MAX(0,xbar-4*s_std)+50*((xbar+4*s_std-MAX(0,xbar-4*s_std))/59)</f>
        <v>7.6348154861356283</v>
      </c>
      <c r="C54" s="20">
        <f t="shared" si="4"/>
        <v>1.1696746100180388E-3</v>
      </c>
      <c r="F54" s="10">
        <f>-4+50*(8/59)</f>
        <v>2.7796610169491522</v>
      </c>
      <c r="G54" s="20" t="e">
        <f t="shared" ca="1" si="5"/>
        <v>#NAME?</v>
      </c>
      <c r="J54" s="10">
        <f>-4+50*(8/59)</f>
        <v>2.7796610169491522</v>
      </c>
      <c r="K54" s="20">
        <f t="shared" si="6"/>
        <v>8.3775797589945456E-3</v>
      </c>
      <c r="N54" s="10">
        <f>50*(15/59)</f>
        <v>12.711864406779661</v>
      </c>
      <c r="O54" s="20">
        <f t="shared" si="7"/>
        <v>8.6820787560728662E-4</v>
      </c>
    </row>
    <row r="55" spans="2:15">
      <c r="B55" s="10">
        <f>MAX(0,xbar-4*s_std)+51*((xbar+4*s_std-MAX(0,xbar-4*s_std))/59)</f>
        <v>7.7875117958583404</v>
      </c>
      <c r="C55" s="20">
        <f t="shared" si="4"/>
        <v>8.8602794895927244E-4</v>
      </c>
      <c r="F55" s="10">
        <f>-4+51*(8/59)</f>
        <v>2.9152542372881358</v>
      </c>
      <c r="G55" s="20" t="e">
        <f t="shared" ca="1" si="5"/>
        <v>#NAME?</v>
      </c>
      <c r="J55" s="10">
        <f>-4+51*(8/59)</f>
        <v>2.9152542372881358</v>
      </c>
      <c r="K55" s="20">
        <f t="shared" si="6"/>
        <v>5.6942854069931019E-3</v>
      </c>
      <c r="N55" s="10">
        <f>51*(15/59)</f>
        <v>12.966101694915254</v>
      </c>
      <c r="O55" s="20">
        <f t="shared" si="7"/>
        <v>7.6456919388069773E-4</v>
      </c>
    </row>
    <row r="56" spans="2:15">
      <c r="B56" s="10">
        <f>MAX(0,xbar-4*s_std)+52*((xbar+4*s_std-MAX(0,xbar-4*s_std))/59)</f>
        <v>7.9402081055810534</v>
      </c>
      <c r="C56" s="20">
        <f t="shared" si="4"/>
        <v>6.663718404139933E-4</v>
      </c>
      <c r="F56" s="10">
        <f>-4+52*(8/59)</f>
        <v>3.0508474576271185</v>
      </c>
      <c r="G56" s="20" t="e">
        <f t="shared" ca="1" si="5"/>
        <v>#NAME?</v>
      </c>
      <c r="J56" s="10">
        <f>-4+52*(8/59)</f>
        <v>3.0508474576271185</v>
      </c>
      <c r="K56" s="20">
        <f t="shared" si="6"/>
        <v>3.7999261826397348E-3</v>
      </c>
      <c r="N56" s="10">
        <f>52*(15/59)</f>
        <v>13.220338983050848</v>
      </c>
      <c r="O56" s="20">
        <f t="shared" si="7"/>
        <v>6.7330194606043242E-4</v>
      </c>
    </row>
    <row r="57" spans="2:15">
      <c r="B57" s="10">
        <f>MAX(0,xbar-4*s_std)+53*((xbar+4*s_std-MAX(0,xbar-4*s_std))/59)</f>
        <v>8.0929044153037655</v>
      </c>
      <c r="C57" s="20">
        <f t="shared" si="4"/>
        <v>4.9759121843320298E-4</v>
      </c>
      <c r="F57" s="10">
        <f>-4+53*(8/59)</f>
        <v>3.1864406779661021</v>
      </c>
      <c r="G57" s="20" t="e">
        <f t="shared" ca="1" si="5"/>
        <v>#NAME?</v>
      </c>
      <c r="J57" s="10">
        <f>-4+53*(8/59)</f>
        <v>3.1864406779661021</v>
      </c>
      <c r="K57" s="20">
        <f t="shared" si="6"/>
        <v>2.4895815612865223E-3</v>
      </c>
      <c r="N57" s="10">
        <f>53*(15/59)</f>
        <v>13.474576271186439</v>
      </c>
      <c r="O57" s="20">
        <f t="shared" si="7"/>
        <v>5.9292934399800528E-4</v>
      </c>
    </row>
    <row r="58" spans="2:15">
      <c r="B58" s="10">
        <f>MAX(0,xbar-4*s_std)+54*((xbar+4*s_std-MAX(0,xbar-4*s_std))/59)</f>
        <v>8.2456007250264776</v>
      </c>
      <c r="C58" s="20">
        <f t="shared" si="4"/>
        <v>3.6890592821486081E-4</v>
      </c>
      <c r="F58" s="10">
        <f>-4+54*(8/59)</f>
        <v>3.3220338983050848</v>
      </c>
      <c r="G58" s="20" t="e">
        <f t="shared" ca="1" si="5"/>
        <v>#NAME?</v>
      </c>
      <c r="J58" s="10">
        <f>-4+54*(8/59)</f>
        <v>3.3220338983050848</v>
      </c>
      <c r="K58" s="20">
        <f t="shared" si="6"/>
        <v>1.6013741990548226E-3</v>
      </c>
      <c r="N58" s="10">
        <f>54*(15/59)</f>
        <v>13.728813559322033</v>
      </c>
      <c r="O58" s="20">
        <f t="shared" si="7"/>
        <v>5.221508849498406E-4</v>
      </c>
    </row>
    <row r="59" spans="2:15">
      <c r="B59" s="10">
        <f>MAX(0,xbar-4*s_std)+55*((xbar+4*s_std-MAX(0,xbar-4*s_std))/59)</f>
        <v>8.3982970347491914</v>
      </c>
      <c r="C59" s="20">
        <f t="shared" si="4"/>
        <v>2.7154725526081104E-4</v>
      </c>
      <c r="F59" s="10">
        <f>-4+55*(8/59)</f>
        <v>3.4576271186440675</v>
      </c>
      <c r="G59" s="20" t="e">
        <f t="shared" ca="1" si="5"/>
        <v>#NAME?</v>
      </c>
      <c r="J59" s="10">
        <f>-4+55*(8/59)</f>
        <v>3.4576271186440675</v>
      </c>
      <c r="K59" s="20">
        <f t="shared" si="6"/>
        <v>1.0112873265285291E-3</v>
      </c>
      <c r="N59" s="10">
        <f>55*(15/59)</f>
        <v>13.983050847457626</v>
      </c>
      <c r="O59" s="20">
        <f t="shared" si="7"/>
        <v>4.5982130824481315E-4</v>
      </c>
    </row>
    <row r="60" spans="2:15">
      <c r="B60" s="10">
        <f>MAX(0,xbar-4*s_std)+56*((xbar+4*s_std-MAX(0,xbar-4*s_std))/59)</f>
        <v>8.5509933444719035</v>
      </c>
      <c r="C60" s="20">
        <f t="shared" si="4"/>
        <v>1.9845500519169061E-4</v>
      </c>
      <c r="F60" s="10">
        <f>-4+56*(8/59)</f>
        <v>3.593220338983051</v>
      </c>
      <c r="G60" s="20" t="e">
        <f t="shared" ca="1" si="5"/>
        <v>#NAME?</v>
      </c>
      <c r="J60" s="10">
        <f>-4+56*(8/59)</f>
        <v>3.593220338983051</v>
      </c>
      <c r="K60" s="20">
        <f t="shared" si="6"/>
        <v>6.2700581976949646E-4</v>
      </c>
      <c r="N60" s="10">
        <f>56*(15/59)</f>
        <v>14.23728813559322</v>
      </c>
      <c r="O60" s="20">
        <f t="shared" si="7"/>
        <v>4.0493206391153128E-4</v>
      </c>
    </row>
    <row r="61" spans="2:15">
      <c r="B61" s="10">
        <f>MAX(0,xbar-4*s_std)+57*((xbar+4*s_std-MAX(0,xbar-4*s_std))/59)</f>
        <v>8.7036896541946156</v>
      </c>
      <c r="C61" s="20">
        <f t="shared" si="4"/>
        <v>1.4400101457258608E-4</v>
      </c>
      <c r="F61" s="10">
        <f>-4+57*(8/59)</f>
        <v>3.7288135593220337</v>
      </c>
      <c r="G61" s="20" t="e">
        <f t="shared" ca="1" si="5"/>
        <v>#NAME?</v>
      </c>
      <c r="J61" s="10">
        <f>-4+57*(8/59)</f>
        <v>3.7288135593220337</v>
      </c>
      <c r="K61" s="20">
        <f t="shared" si="6"/>
        <v>3.8166632978775636E-4</v>
      </c>
      <c r="N61" s="10">
        <f>57*(15/59)</f>
        <v>14.491525423728813</v>
      </c>
      <c r="O61" s="20">
        <f t="shared" si="7"/>
        <v>3.5659499341068667E-4</v>
      </c>
    </row>
    <row r="62" spans="2:15">
      <c r="B62" s="10">
        <f>MAX(0,xbar-4*s_std)+58*((xbar+4*s_std-MAX(0,xbar-4*s_std))/59)</f>
        <v>8.8563859639173277</v>
      </c>
      <c r="C62" s="20">
        <f t="shared" si="4"/>
        <v>1.0374230745298843E-4</v>
      </c>
      <c r="F62" s="10">
        <f>-4+58*(8/59)</f>
        <v>3.8644067796610173</v>
      </c>
      <c r="G62" s="20" t="e">
        <f t="shared" ca="1" si="5"/>
        <v>#NAME?</v>
      </c>
      <c r="J62" s="10">
        <f>-4+58*(8/59)</f>
        <v>3.8644067796610173</v>
      </c>
      <c r="K62" s="20">
        <f t="shared" si="6"/>
        <v>2.2809270459460784E-4</v>
      </c>
      <c r="N62" s="10">
        <f>58*(15/59)</f>
        <v>14.745762711864407</v>
      </c>
      <c r="O62" s="20">
        <f t="shared" si="7"/>
        <v>3.1402795841168387E-4</v>
      </c>
    </row>
    <row r="63" spans="2:15">
      <c r="B63" s="10">
        <f>MAX(0,xbar-4*s_std)+59*((xbar+4*s_std-MAX(0,xbar-4*s_std))/59)</f>
        <v>9.0090822736400415</v>
      </c>
      <c r="C63" s="20">
        <f t="shared" si="4"/>
        <v>7.420499001176946E-5</v>
      </c>
      <c r="F63" s="10">
        <f>-4+59*(8/59)</f>
        <v>4</v>
      </c>
      <c r="G63" s="20" t="e">
        <f t="shared" ca="1" si="5"/>
        <v>#NAME?</v>
      </c>
      <c r="J63" s="10">
        <f>-4+59*(8/59)</f>
        <v>4</v>
      </c>
      <c r="K63" s="20">
        <f t="shared" si="6"/>
        <v>1.3383022576488537E-4</v>
      </c>
      <c r="N63" s="10">
        <f>59*(15/59)</f>
        <v>15</v>
      </c>
      <c r="O63" s="20">
        <f t="shared" si="7"/>
        <v>2.7654218507391681E-4</v>
      </c>
    </row>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1. Обобщение данных</vt:lpstr>
      <vt:lpstr>2. Точечное и доверительное</vt:lpstr>
      <vt:lpstr>3. Проверка гипотез</vt:lpstr>
      <vt:lpstr>Данные графиков</vt:lpstr>
      <vt:lpstr>data</vt:lpstr>
      <vt:lpstr>n_val</vt:lpstr>
      <vt:lpstr>s_std</vt:lpstr>
      <vt:lpstr>wknd_flag</vt:lpstr>
      <vt:lpstr>xbar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 B</cp:lastModifiedBy>
  <dcterms:created xsi:type="dcterms:W3CDTF">2026-06-21T17:14:05Z</dcterms:created>
  <dcterms:modified xsi:type="dcterms:W3CDTF">2026-06-21T20:58:18Z</dcterms:modified>
</cp:coreProperties>
</file>